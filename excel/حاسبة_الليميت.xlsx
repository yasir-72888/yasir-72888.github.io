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حساب الليميت" sheetId="1" state="visible" r:id="rId3"/>
    <sheet name="الإعدادات" sheetId="2" state="visible" r:id="rId4"/>
  </sheets>
  <definedNames>
    <definedName function="false" hidden="true" localSheetId="0" name="_xlnm._FilterDatabase" vbProcedure="false">'حساب الليميت'!$A$4:$Y$54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4" authorId="0">
      <text>
        <r>
          <rPr>
            <sz val="10"/>
            <rFont val="FreeSans"/>
            <family val="2"/>
          </rPr>
          <t xml:space="preserve">المرتب × مضاعف المرتب (من شيت الإعدادات)</t>
        </r>
      </text>
    </comment>
    <comment ref="R4" authorId="0">
      <text>
        <r>
          <rPr>
            <sz val="10"/>
            <rFont val="FreeSans"/>
            <family val="2"/>
          </rPr>
          <t xml:space="preserve">الأساسي + زيادة الوظيفة + العربية (</t>
        </r>
        <r>
          <rPr>
            <sz val="10"/>
            <rFont val="Arial"/>
            <family val="2"/>
          </rPr>
          <t xml:space="preserve">2021+) + النادي</t>
        </r>
      </text>
    </comment>
    <comment ref="S4" authorId="0">
      <text>
        <r>
          <rPr>
            <sz val="10"/>
            <rFont val="Arial"/>
            <family val="2"/>
          </rPr>
          <t xml:space="preserve">Loan: </t>
        </r>
        <r>
          <rPr>
            <sz val="10"/>
            <rFont val="FreeSans"/>
            <family val="2"/>
          </rPr>
          <t xml:space="preserve">الليميت ÷ عدد الشهور </t>
        </r>
        <r>
          <rPr>
            <sz val="10"/>
            <rFont val="Arial"/>
            <family val="2"/>
          </rPr>
          <t xml:space="preserve">| Credit Card: </t>
        </r>
        <r>
          <rPr>
            <sz val="10"/>
            <rFont val="FreeSans"/>
            <family val="2"/>
          </rPr>
          <t xml:space="preserve">الليميت × نسبة الحد الأدنى للسداد</t>
        </r>
      </text>
    </comment>
    <comment ref="T4" authorId="0">
      <text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الأقساط الحالية + القسط المتوقع</t>
        </r>
        <r>
          <rPr>
            <sz val="10"/>
            <rFont val="Arial"/>
            <family val="2"/>
          </rPr>
          <t xml:space="preserve">) ÷ </t>
        </r>
        <r>
          <rPr>
            <sz val="10"/>
            <rFont val="FreeSans"/>
            <family val="2"/>
          </rPr>
          <t xml:space="preserve">المرتب — لازم مايعديش </t>
        </r>
        <r>
          <rPr>
            <sz val="10"/>
            <rFont val="Arial"/>
            <family val="2"/>
          </rPr>
          <t xml:space="preserve">50%</t>
        </r>
      </text>
    </comment>
    <comment ref="W4" authorId="0">
      <text>
        <r>
          <rPr>
            <sz val="10"/>
            <rFont val="FreeSans"/>
            <family val="2"/>
          </rPr>
          <t xml:space="preserve">اكتب رقم موجب للزيادة أو سالب للنقص عن ليميت السيستم</t>
        </r>
      </text>
    </comment>
  </commentList>
</comments>
</file>

<file path=xl/sharedStrings.xml><?xml version="1.0" encoding="utf-8"?>
<sst xmlns="http://schemas.openxmlformats.org/spreadsheetml/2006/main" count="82" uniqueCount="68">
  <si>
    <t xml:space="preserve">حاسبة ليميت العملاء</t>
  </si>
  <si>
    <t xml:space="preserve">الخانات الصفراء = إدخال يدوي | الباقي محسوب أوتوماتيك | عمود (التعديل اليدوي) اكتب فيه + للزيادة أو - للنقص عن ليميت السيستم</t>
  </si>
  <si>
    <t xml:space="preserve">#</t>
  </si>
  <si>
    <t xml:space="preserve">اسم العميل</t>
  </si>
  <si>
    <t xml:space="preserve">السن</t>
  </si>
  <si>
    <t xml:space="preserve">الوظيفة</t>
  </si>
  <si>
    <t xml:space="preserve">بروفايل الوظيفة</t>
  </si>
  <si>
    <t xml:space="preserve">المرتب الشهري</t>
  </si>
  <si>
    <t xml:space="preserve">عنده عربية؟</t>
  </si>
  <si>
    <t xml:space="preserve">موديل العربية</t>
  </si>
  <si>
    <t xml:space="preserve">عضو نادي؟</t>
  </si>
  <si>
    <t xml:space="preserve">إجمالي المديونية (I-Score)</t>
  </si>
  <si>
    <t xml:space="preserve">الأقساط الشهرية الحالية</t>
  </si>
  <si>
    <t xml:space="preserve">عدد الـ Facilities</t>
  </si>
  <si>
    <t xml:space="preserve">نوع الـ Facility المطلوب</t>
  </si>
  <si>
    <t xml:space="preserve">الليميت الأساسي</t>
  </si>
  <si>
    <t xml:space="preserve">زيادة الوظيفة</t>
  </si>
  <si>
    <t xml:space="preserve">زيادة العربية</t>
  </si>
  <si>
    <t xml:space="preserve">زيادة النادي</t>
  </si>
  <si>
    <t xml:space="preserve">ليميت السيستم</t>
  </si>
  <si>
    <t xml:space="preserve">القسط المتوقع</t>
  </si>
  <si>
    <t xml:space="preserve">نسبة الأقساط DBR</t>
  </si>
  <si>
    <t xml:space="preserve">السن مقبول؟</t>
  </si>
  <si>
    <t xml:space="preserve">القرار</t>
  </si>
  <si>
    <t xml:space="preserve">التعديل اليدوي (+/-)</t>
  </si>
  <si>
    <t xml:space="preserve">الليميت النهائي</t>
  </si>
  <si>
    <t xml:space="preserve">ملاحظات</t>
  </si>
  <si>
    <t xml:space="preserve">أحمد محمد</t>
  </si>
  <si>
    <t xml:space="preserve">مهندس</t>
  </si>
  <si>
    <t xml:space="preserve">High</t>
  </si>
  <si>
    <t xml:space="preserve">نعم</t>
  </si>
  <si>
    <t xml:space="preserve">Loan</t>
  </si>
  <si>
    <t xml:space="preserve">سارة علي</t>
  </si>
  <si>
    <t xml:space="preserve">محاسبة</t>
  </si>
  <si>
    <t xml:space="preserve">Medium</t>
  </si>
  <si>
    <t xml:space="preserve">لا</t>
  </si>
  <si>
    <t xml:space="preserve">Credit Card</t>
  </si>
  <si>
    <t xml:space="preserve">خفّضت الليميت</t>
  </si>
  <si>
    <t xml:space="preserve">محمود حسن</t>
  </si>
  <si>
    <t xml:space="preserve">موظف إداري</t>
  </si>
  <si>
    <t xml:space="preserve">Low</t>
  </si>
  <si>
    <t xml:space="preserve">إعدادات حساب الليميت (غيّر الخانات الصفراء بس)</t>
  </si>
  <si>
    <t xml:space="preserve">البند</t>
  </si>
  <si>
    <t xml:space="preserve">القيمة</t>
  </si>
  <si>
    <t xml:space="preserve">ملاحظة</t>
  </si>
  <si>
    <t xml:space="preserve">البروفايل</t>
  </si>
  <si>
    <t xml:space="preserve">نعم/لا</t>
  </si>
  <si>
    <t xml:space="preserve">نوع الـ Facility</t>
  </si>
  <si>
    <t xml:space="preserve">مضاعف المرتب (الليميت الأساسي = المرتب × المضاعف)</t>
  </si>
  <si>
    <t xml:space="preserve">الليميت الأساسي قبل أي زيادات</t>
  </si>
  <si>
    <t xml:space="preserve">زيادة البروفايل High</t>
  </si>
  <si>
    <t xml:space="preserve">وظيفة High تزوّد 20,000</t>
  </si>
  <si>
    <t xml:space="preserve">زيادة البروفايل Medium</t>
  </si>
  <si>
    <t xml:space="preserve">وظيفة Medium تزوّد 10,000</t>
  </si>
  <si>
    <t xml:space="preserve">زيادة البروفايل Low</t>
  </si>
  <si>
    <t xml:space="preserve">Low الليميت يفضل زي ما هو</t>
  </si>
  <si>
    <t xml:space="preserve">سنة موديل العربية المقبولة (من وطالع)</t>
  </si>
  <si>
    <t xml:space="preserve">عربية 2021 وما فوق بس اللي تزوّد</t>
  </si>
  <si>
    <t xml:space="preserve">أقصى نسبة أقساط من المرتب (DBR)</t>
  </si>
  <si>
    <t xml:space="preserve">إجمالي الأقساط مايعديش 50%</t>
  </si>
  <si>
    <t xml:space="preserve">أقل سن</t>
  </si>
  <si>
    <t xml:space="preserve">أكبر سن</t>
  </si>
  <si>
    <t xml:space="preserve">أقصى عدد facilities</t>
  </si>
  <si>
    <t xml:space="preserve">أكتر من كده = مراجعة</t>
  </si>
  <si>
    <t xml:space="preserve">مدة القسط بالشهور (للقرض)</t>
  </si>
  <si>
    <t xml:space="preserve">لحساب القسط الشهري للقرض الجديد</t>
  </si>
  <si>
    <t xml:space="preserve">نسبة القسط الشهري للكريدت كارد من الليميت</t>
  </si>
  <si>
    <t xml:space="preserve">الحد الأدنى للسداد الشهري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</si>
</sst>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0.0\x"/>
    <numFmt numFmtId="168" formatCode="#,##0"/>
    <numFmt numFmtId="169" formatCode="0"/>
    <numFmt numFmtId="170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5911"/>
        <bgColor rgb="FF9C5700"/>
      </patternFill>
    </fill>
    <fill>
      <patternFill patternType="solid">
        <fgColor rgb="FFFFFF99"/>
        <bgColor rgb="FFFFEB9C"/>
      </patternFill>
    </fill>
    <fill>
      <patternFill patternType="solid">
        <fgColor rgb="FFE2EFDA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FFEB9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65911"/>
      <rgbColor rgb="FF555555"/>
      <rgbColor rgb="FF999999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10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7" min="15" style="0" width="12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1" min="21" style="0" width="10"/>
    <col collapsed="false" customWidth="true" hidden="false" outlineLevel="0" max="23" min="22" style="0" width="14"/>
    <col collapsed="false" customWidth="true" hidden="false" outlineLevel="0" max="24" min="24" style="0" width="15"/>
    <col collapsed="false" customWidth="true" hidden="false" outlineLevel="0" max="25" min="25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4" t="s">
        <v>24</v>
      </c>
      <c r="X4" s="3" t="s">
        <v>25</v>
      </c>
      <c r="Y4" s="4" t="s">
        <v>26</v>
      </c>
    </row>
    <row r="5" customFormat="false" ht="15" hidden="false" customHeight="false" outlineLevel="0" collapsed="false">
      <c r="A5" s="5" t="n">
        <v>1</v>
      </c>
      <c r="B5" s="6" t="s">
        <v>27</v>
      </c>
      <c r="C5" s="6" t="n">
        <v>32</v>
      </c>
      <c r="D5" s="6" t="s">
        <v>28</v>
      </c>
      <c r="E5" s="6" t="s">
        <v>29</v>
      </c>
      <c r="F5" s="7" t="n">
        <v>45000</v>
      </c>
      <c r="G5" s="6" t="s">
        <v>30</v>
      </c>
      <c r="H5" s="6" t="n">
        <v>2022</v>
      </c>
      <c r="I5" s="6" t="s">
        <v>30</v>
      </c>
      <c r="J5" s="7" t="n">
        <v>120000</v>
      </c>
      <c r="K5" s="7" t="n">
        <v>6000</v>
      </c>
      <c r="L5" s="6" t="n">
        <v>2</v>
      </c>
      <c r="M5" s="6" t="s">
        <v>31</v>
      </c>
      <c r="N5" s="8" t="n">
        <f aca="false">IF(F5="","",F5*الإعدادات!$B$4)</f>
        <v>225000</v>
      </c>
      <c r="O5" s="8" t="n">
        <f aca="false">IF(F5="","",IF(E5="High",الإعدادات!$B$5,IF(E5="Medium",الإعدادات!$B$6,الإعدادات!$B$7)))</f>
        <v>20000</v>
      </c>
      <c r="P5" s="8" t="n">
        <f aca="false">IF(F5="","",IF(AND(G5="نعم",N(H5)&gt;=الإعدادات!$B$8),الإعدادات!$B$9,0))</f>
        <v>20000</v>
      </c>
      <c r="Q5" s="8" t="n">
        <f aca="false">IF(F5="","",IF(I5="نعم",الإعدادات!$B$10,0))</f>
        <v>20000</v>
      </c>
      <c r="R5" s="9" t="n">
        <f aca="false">IF(F5="","",N5+O5+P5+Q5)</f>
        <v>285000</v>
      </c>
      <c r="S5" s="8" t="n">
        <f aca="false">IF(F5="","",IF(M5="Credit Card",MAX(0,R5+N(W5))*الإعدادات!$B$16,MAX(0,R5+N(W5))/الإعدادات!$B$15))</f>
        <v>4750</v>
      </c>
      <c r="T5" s="10" t="n">
        <f aca="false">IF(OR(F5="",N(F5)=0),"",(N(K5)+S5)/F5)</f>
        <v>0.238888888888889</v>
      </c>
      <c r="U5" s="5" t="str">
        <f aca="false">IF(C5="","",IF(AND(C5&gt;=الإعدادات!$B$12,C5&lt;=الإعدادات!$B$13),"نعم","لا"))</f>
        <v>نعم</v>
      </c>
      <c r="V5" s="5" t="str">
        <f aca="false">IF(F5="","",IF(U5="لا","مرفوض - السن",IF(N(K5)/F5&gt;الإعدادات!$B$11,"مرفوض - DBR",IF(N(L5)&gt;الإعدادات!$B$14,"مراجعة - Facilities",IF(T5&gt;الإعدادات!$B$11,"مقبول - قلّل الليميت","مقبول")))))</f>
        <v>مقبول</v>
      </c>
      <c r="W5" s="7" t="n">
        <v>0</v>
      </c>
      <c r="X5" s="11" t="n">
        <f aca="false">IF(F5="","",IF(LEFT(V5,5)="مرفوض",0,MAX(0,R5+N(W5))))</f>
        <v>285000</v>
      </c>
      <c r="Y5" s="6"/>
    </row>
    <row r="6" customFormat="false" ht="15" hidden="false" customHeight="false" outlineLevel="0" collapsed="false">
      <c r="A6" s="5" t="n">
        <v>2</v>
      </c>
      <c r="B6" s="6" t="s">
        <v>32</v>
      </c>
      <c r="C6" s="6" t="n">
        <v>28</v>
      </c>
      <c r="D6" s="6" t="s">
        <v>33</v>
      </c>
      <c r="E6" s="6" t="s">
        <v>34</v>
      </c>
      <c r="F6" s="7" t="n">
        <v>20000</v>
      </c>
      <c r="G6" s="6" t="s">
        <v>35</v>
      </c>
      <c r="H6" s="6"/>
      <c r="I6" s="6" t="s">
        <v>35</v>
      </c>
      <c r="J6" s="7" t="n">
        <v>30000</v>
      </c>
      <c r="K6" s="7" t="n">
        <v>2500</v>
      </c>
      <c r="L6" s="6" t="n">
        <v>1</v>
      </c>
      <c r="M6" s="6" t="s">
        <v>36</v>
      </c>
      <c r="N6" s="8" t="n">
        <f aca="false">IF(F6="","",F6*الإعدادات!$B$4)</f>
        <v>100000</v>
      </c>
      <c r="O6" s="8" t="n">
        <f aca="false">IF(F6="","",IF(E6="High",الإعدادات!$B$5,IF(E6="Medium",الإعدادات!$B$6,الإعدادات!$B$7)))</f>
        <v>10000</v>
      </c>
      <c r="P6" s="8" t="n">
        <f aca="false">IF(F6="","",IF(AND(G6="نعم",N(H6)&gt;=الإعدادات!$B$8),الإعدادات!$B$9,0))</f>
        <v>0</v>
      </c>
      <c r="Q6" s="8" t="n">
        <f aca="false">IF(F6="","",IF(I6="نعم",الإعدادات!$B$10,0))</f>
        <v>0</v>
      </c>
      <c r="R6" s="9" t="n">
        <f aca="false">IF(F6="","",N6+O6+P6+Q6)</f>
        <v>110000</v>
      </c>
      <c r="S6" s="8" t="n">
        <f aca="false">IF(F6="","",IF(M6="Credit Card",MAX(0,R6+N(W6))*الإعدادات!$B$16,MAX(0,R6+N(W6))/الإعدادات!$B$15))</f>
        <v>5000</v>
      </c>
      <c r="T6" s="10" t="n">
        <f aca="false">IF(OR(F6="",N(F6)=0),"",(N(K6)+S6)/F6)</f>
        <v>0.375</v>
      </c>
      <c r="U6" s="5" t="str">
        <f aca="false">IF(C6="","",IF(AND(C6&gt;=الإعدادات!$B$12,C6&lt;=الإعدادات!$B$13),"نعم","لا"))</f>
        <v>نعم</v>
      </c>
      <c r="V6" s="5" t="str">
        <f aca="false">IF(F6="","",IF(U6="لا","مرفوض - السن",IF(N(K6)/F6&gt;الإعدادات!$B$11,"مرفوض - DBR",IF(N(L6)&gt;الإعدادات!$B$14,"مراجعة - Facilities",IF(T6&gt;الإعدادات!$B$11,"مقبول - قلّل الليميت","مقبول")))))</f>
        <v>مقبول</v>
      </c>
      <c r="W6" s="7" t="n">
        <v>-10000</v>
      </c>
      <c r="X6" s="11" t="n">
        <f aca="false">IF(F6="","",IF(LEFT(V6,5)="مرفوض",0,MAX(0,R6+N(W6))))</f>
        <v>100000</v>
      </c>
      <c r="Y6" s="6" t="s">
        <v>37</v>
      </c>
    </row>
    <row r="7" customFormat="false" ht="15" hidden="false" customHeight="false" outlineLevel="0" collapsed="false">
      <c r="A7" s="5" t="n">
        <v>3</v>
      </c>
      <c r="B7" s="6" t="s">
        <v>38</v>
      </c>
      <c r="C7" s="6" t="n">
        <v>45</v>
      </c>
      <c r="D7" s="6" t="s">
        <v>39</v>
      </c>
      <c r="E7" s="6" t="s">
        <v>40</v>
      </c>
      <c r="F7" s="7" t="n">
        <v>12000</v>
      </c>
      <c r="G7" s="6" t="s">
        <v>30</v>
      </c>
      <c r="H7" s="6" t="n">
        <v>2018</v>
      </c>
      <c r="I7" s="6" t="s">
        <v>30</v>
      </c>
      <c r="J7" s="7" t="n">
        <v>80000</v>
      </c>
      <c r="K7" s="7" t="n">
        <v>4500</v>
      </c>
      <c r="L7" s="6" t="n">
        <v>3</v>
      </c>
      <c r="M7" s="6" t="s">
        <v>31</v>
      </c>
      <c r="N7" s="8" t="n">
        <f aca="false">IF(F7="","",F7*الإعدادات!$B$4)</f>
        <v>60000</v>
      </c>
      <c r="O7" s="8" t="n">
        <f aca="false">IF(F7="","",IF(E7="High",الإعدادات!$B$5,IF(E7="Medium",الإعدادات!$B$6,الإعدادات!$B$7)))</f>
        <v>0</v>
      </c>
      <c r="P7" s="8" t="n">
        <f aca="false">IF(F7="","",IF(AND(G7="نعم",N(H7)&gt;=الإعدادات!$B$8),الإعدادات!$B$9,0))</f>
        <v>0</v>
      </c>
      <c r="Q7" s="8" t="n">
        <f aca="false">IF(F7="","",IF(I7="نعم",الإعدادات!$B$10,0))</f>
        <v>20000</v>
      </c>
      <c r="R7" s="9" t="n">
        <f aca="false">IF(F7="","",N7+O7+P7+Q7)</f>
        <v>80000</v>
      </c>
      <c r="S7" s="8" t="n">
        <f aca="false">IF(F7="","",IF(M7="Credit Card",MAX(0,R7+N(W7))*الإعدادات!$B$16,MAX(0,R7+N(W7))/الإعدادات!$B$15))</f>
        <v>1333.33333333333</v>
      </c>
      <c r="T7" s="10" t="n">
        <f aca="false">IF(OR(F7="",N(F7)=0),"",(N(K7)+S7)/F7)</f>
        <v>0.486111111111111</v>
      </c>
      <c r="U7" s="5" t="str">
        <f aca="false">IF(C7="","",IF(AND(C7&gt;=الإعدادات!$B$12,C7&lt;=الإعدادات!$B$13),"نعم","لا"))</f>
        <v>نعم</v>
      </c>
      <c r="V7" s="5" t="str">
        <f aca="false">IF(F7="","",IF(U7="لا","مرفوض - السن",IF(N(K7)/F7&gt;الإعدادات!$B$11,"مرفوض - DBR",IF(N(L7)&gt;الإعدادات!$B$14,"مراجعة - Facilities",IF(T7&gt;الإعدادات!$B$11,"مقبول - قلّل الليميت","مقبول")))))</f>
        <v>مقبول</v>
      </c>
      <c r="W7" s="7" t="n">
        <v>0</v>
      </c>
      <c r="X7" s="11" t="n">
        <f aca="false">IF(F7="","",IF(LEFT(V7,5)="مرفوض",0,MAX(0,R7+N(W7))))</f>
        <v>80000</v>
      </c>
      <c r="Y7" s="6"/>
    </row>
    <row r="8" customFormat="false" ht="15" hidden="false" customHeight="false" outlineLevel="0" collapsed="false">
      <c r="A8" s="5" t="n">
        <v>4</v>
      </c>
      <c r="B8" s="6"/>
      <c r="C8" s="6"/>
      <c r="D8" s="6"/>
      <c r="E8" s="6"/>
      <c r="F8" s="7"/>
      <c r="G8" s="6"/>
      <c r="H8" s="6"/>
      <c r="I8" s="6"/>
      <c r="J8" s="7"/>
      <c r="K8" s="7"/>
      <c r="L8" s="6"/>
      <c r="M8" s="6"/>
      <c r="N8" s="8" t="str">
        <f aca="false">IF(F8="","",F8*الإعدادات!$B$4)</f>
        <v/>
      </c>
      <c r="O8" s="8" t="str">
        <f aca="false">IF(F8="","",IF(E8="High",الإعدادات!$B$5,IF(E8="Medium",الإعدادات!$B$6,الإعدادات!$B$7)))</f>
        <v/>
      </c>
      <c r="P8" s="8" t="str">
        <f aca="false">IF(F8="","",IF(AND(G8="نعم",N(H8)&gt;=الإعدادات!$B$8),الإعدادات!$B$9,0))</f>
        <v/>
      </c>
      <c r="Q8" s="8" t="str">
        <f aca="false">IF(F8="","",IF(I8="نعم",الإعدادات!$B$10,0))</f>
        <v/>
      </c>
      <c r="R8" s="9" t="str">
        <f aca="false">IF(F8="","",N8+O8+P8+Q8)</f>
        <v/>
      </c>
      <c r="S8" s="8" t="str">
        <f aca="false">IF(F8="","",IF(M8="Credit Card",MAX(0,R8+N(W8))*الإعدادات!$B$16,MAX(0,R8+N(W8))/الإعدادات!$B$15))</f>
        <v/>
      </c>
      <c r="T8" s="10" t="str">
        <f aca="false">IF(OR(F8="",N(F8)=0),"",(N(K8)+S8)/F8)</f>
        <v/>
      </c>
      <c r="U8" s="5" t="str">
        <f aca="false">IF(C8="","",IF(AND(C8&gt;=الإعدادات!$B$12,C8&lt;=الإعدادات!$B$13),"نعم","لا"))</f>
        <v/>
      </c>
      <c r="V8" s="5" t="str">
        <f aca="false">IF(F8="","",IF(U8="لا","مرفوض - السن",IF(N(K8)/F8&gt;الإعدادات!$B$11,"مرفوض - DBR",IF(N(L8)&gt;الإعدادات!$B$14,"مراجعة - Facilities",IF(T8&gt;الإعدادات!$B$11,"مقبول - قلّل الليميت","مقبول")))))</f>
        <v/>
      </c>
      <c r="W8" s="7"/>
      <c r="X8" s="11" t="str">
        <f aca="false">IF(F8="","",IF(LEFT(V8,5)="مرفوض",0,MAX(0,R8+N(W8))))</f>
        <v/>
      </c>
      <c r="Y8" s="6"/>
    </row>
    <row r="9" customFormat="false" ht="15" hidden="false" customHeight="false" outlineLevel="0" collapsed="false">
      <c r="A9" s="5" t="n">
        <v>5</v>
      </c>
      <c r="B9" s="6"/>
      <c r="C9" s="6"/>
      <c r="D9" s="6"/>
      <c r="E9" s="6"/>
      <c r="F9" s="7"/>
      <c r="G9" s="6"/>
      <c r="H9" s="6"/>
      <c r="I9" s="6"/>
      <c r="J9" s="7"/>
      <c r="K9" s="7"/>
      <c r="L9" s="6"/>
      <c r="M9" s="6"/>
      <c r="N9" s="8" t="str">
        <f aca="false">IF(F9="","",F9*الإعدادات!$B$4)</f>
        <v/>
      </c>
      <c r="O9" s="8" t="str">
        <f aca="false">IF(F9="","",IF(E9="High",الإعدادات!$B$5,IF(E9="Medium",الإعدادات!$B$6,الإعدادات!$B$7)))</f>
        <v/>
      </c>
      <c r="P9" s="8" t="str">
        <f aca="false">IF(F9="","",IF(AND(G9="نعم",N(H9)&gt;=الإعدادات!$B$8),الإعدادات!$B$9,0))</f>
        <v/>
      </c>
      <c r="Q9" s="8" t="str">
        <f aca="false">IF(F9="","",IF(I9="نعم",الإعدادات!$B$10,0))</f>
        <v/>
      </c>
      <c r="R9" s="9" t="str">
        <f aca="false">IF(F9="","",N9+O9+P9+Q9)</f>
        <v/>
      </c>
      <c r="S9" s="8" t="str">
        <f aca="false">IF(F9="","",IF(M9="Credit Card",MAX(0,R9+N(W9))*الإعدادات!$B$16,MAX(0,R9+N(W9))/الإعدادات!$B$15))</f>
        <v/>
      </c>
      <c r="T9" s="10" t="str">
        <f aca="false">IF(OR(F9="",N(F9)=0),"",(N(K9)+S9)/F9)</f>
        <v/>
      </c>
      <c r="U9" s="5" t="str">
        <f aca="false">IF(C9="","",IF(AND(C9&gt;=الإعدادات!$B$12,C9&lt;=الإعدادات!$B$13),"نعم","لا"))</f>
        <v/>
      </c>
      <c r="V9" s="5" t="str">
        <f aca="false">IF(F9="","",IF(U9="لا","مرفوض - السن",IF(N(K9)/F9&gt;الإعدادات!$B$11,"مرفوض - DBR",IF(N(L9)&gt;الإعدادات!$B$14,"مراجعة - Facilities",IF(T9&gt;الإعدادات!$B$11,"مقبول - قلّل الليميت","مقبول")))))</f>
        <v/>
      </c>
      <c r="W9" s="7"/>
      <c r="X9" s="11" t="str">
        <f aca="false">IF(F9="","",IF(LEFT(V9,5)="مرفوض",0,MAX(0,R9+N(W9))))</f>
        <v/>
      </c>
      <c r="Y9" s="6"/>
    </row>
    <row r="10" customFormat="false" ht="15" hidden="false" customHeight="false" outlineLevel="0" collapsed="false">
      <c r="A10" s="5" t="n">
        <v>6</v>
      </c>
      <c r="B10" s="6"/>
      <c r="C10" s="6"/>
      <c r="D10" s="6"/>
      <c r="E10" s="6"/>
      <c r="F10" s="7"/>
      <c r="G10" s="6"/>
      <c r="H10" s="6"/>
      <c r="I10" s="6"/>
      <c r="J10" s="7"/>
      <c r="K10" s="7"/>
      <c r="L10" s="6"/>
      <c r="M10" s="6"/>
      <c r="N10" s="8" t="str">
        <f aca="false">IF(F10="","",F10*الإعدادات!$B$4)</f>
        <v/>
      </c>
      <c r="O10" s="8" t="str">
        <f aca="false">IF(F10="","",IF(E10="High",الإعدادات!$B$5,IF(E10="Medium",الإعدادات!$B$6,الإعدادات!$B$7)))</f>
        <v/>
      </c>
      <c r="P10" s="8" t="str">
        <f aca="false">IF(F10="","",IF(AND(G10="نعم",N(H10)&gt;=الإعدادات!$B$8),الإعدادات!$B$9,0))</f>
        <v/>
      </c>
      <c r="Q10" s="8" t="str">
        <f aca="false">IF(F10="","",IF(I10="نعم",الإعدادات!$B$10,0))</f>
        <v/>
      </c>
      <c r="R10" s="9" t="str">
        <f aca="false">IF(F10="","",N10+O10+P10+Q10)</f>
        <v/>
      </c>
      <c r="S10" s="8" t="str">
        <f aca="false">IF(F10="","",IF(M10="Credit Card",MAX(0,R10+N(W10))*الإعدادات!$B$16,MAX(0,R10+N(W10))/الإعدادات!$B$15))</f>
        <v/>
      </c>
      <c r="T10" s="10" t="str">
        <f aca="false">IF(OR(F10="",N(F10)=0),"",(N(K10)+S10)/F10)</f>
        <v/>
      </c>
      <c r="U10" s="5" t="str">
        <f aca="false">IF(C10="","",IF(AND(C10&gt;=الإعدادات!$B$12,C10&lt;=الإعدادات!$B$13),"نعم","لا"))</f>
        <v/>
      </c>
      <c r="V10" s="5" t="str">
        <f aca="false">IF(F10="","",IF(U10="لا","مرفوض - السن",IF(N(K10)/F10&gt;الإعدادات!$B$11,"مرفوض - DBR",IF(N(L10)&gt;الإعدادات!$B$14,"مراجعة - Facilities",IF(T10&gt;الإعدادات!$B$11,"مقبول - قلّل الليميت","مقبول")))))</f>
        <v/>
      </c>
      <c r="W10" s="7"/>
      <c r="X10" s="11" t="str">
        <f aca="false">IF(F10="","",IF(LEFT(V10,5)="مرفوض",0,MAX(0,R10+N(W10))))</f>
        <v/>
      </c>
      <c r="Y10" s="6"/>
    </row>
    <row r="11" customFormat="false" ht="15" hidden="false" customHeight="false" outlineLevel="0" collapsed="false">
      <c r="A11" s="5" t="n">
        <v>7</v>
      </c>
      <c r="B11" s="6"/>
      <c r="C11" s="6"/>
      <c r="D11" s="6"/>
      <c r="E11" s="6"/>
      <c r="F11" s="7"/>
      <c r="G11" s="6"/>
      <c r="H11" s="6"/>
      <c r="I11" s="6"/>
      <c r="J11" s="7"/>
      <c r="K11" s="7"/>
      <c r="L11" s="6"/>
      <c r="M11" s="6"/>
      <c r="N11" s="8" t="str">
        <f aca="false">IF(F11="","",F11*الإعدادات!$B$4)</f>
        <v/>
      </c>
      <c r="O11" s="8" t="str">
        <f aca="false">IF(F11="","",IF(E11="High",الإعدادات!$B$5,IF(E11="Medium",الإعدادات!$B$6,الإعدادات!$B$7)))</f>
        <v/>
      </c>
      <c r="P11" s="8" t="str">
        <f aca="false">IF(F11="","",IF(AND(G11="نعم",N(H11)&gt;=الإعدادات!$B$8),الإعدادات!$B$9,0))</f>
        <v/>
      </c>
      <c r="Q11" s="8" t="str">
        <f aca="false">IF(F11="","",IF(I11="نعم",الإعدادات!$B$10,0))</f>
        <v/>
      </c>
      <c r="R11" s="9" t="str">
        <f aca="false">IF(F11="","",N11+O11+P11+Q11)</f>
        <v/>
      </c>
      <c r="S11" s="8" t="str">
        <f aca="false">IF(F11="","",IF(M11="Credit Card",MAX(0,R11+N(W11))*الإعدادات!$B$16,MAX(0,R11+N(W11))/الإعدادات!$B$15))</f>
        <v/>
      </c>
      <c r="T11" s="10" t="str">
        <f aca="false">IF(OR(F11="",N(F11)=0),"",(N(K11)+S11)/F11)</f>
        <v/>
      </c>
      <c r="U11" s="5" t="str">
        <f aca="false">IF(C11="","",IF(AND(C11&gt;=الإعدادات!$B$12,C11&lt;=الإعدادات!$B$13),"نعم","لا"))</f>
        <v/>
      </c>
      <c r="V11" s="5" t="str">
        <f aca="false">IF(F11="","",IF(U11="لا","مرفوض - السن",IF(N(K11)/F11&gt;الإعدادات!$B$11,"مرفوض - DBR",IF(N(L11)&gt;الإعدادات!$B$14,"مراجعة - Facilities",IF(T11&gt;الإعدادات!$B$11,"مقبول - قلّل الليميت","مقبول")))))</f>
        <v/>
      </c>
      <c r="W11" s="7"/>
      <c r="X11" s="11" t="str">
        <f aca="false">IF(F11="","",IF(LEFT(V11,5)="مرفوض",0,MAX(0,R11+N(W11))))</f>
        <v/>
      </c>
      <c r="Y11" s="6"/>
    </row>
    <row r="12" customFormat="false" ht="15" hidden="false" customHeight="false" outlineLevel="0" collapsed="false">
      <c r="A12" s="5" t="n">
        <v>8</v>
      </c>
      <c r="B12" s="6"/>
      <c r="C12" s="6"/>
      <c r="D12" s="6"/>
      <c r="E12" s="6"/>
      <c r="F12" s="7"/>
      <c r="G12" s="6"/>
      <c r="H12" s="6"/>
      <c r="I12" s="6"/>
      <c r="J12" s="7"/>
      <c r="K12" s="7"/>
      <c r="L12" s="6"/>
      <c r="M12" s="6"/>
      <c r="N12" s="8" t="str">
        <f aca="false">IF(F12="","",F12*الإعدادات!$B$4)</f>
        <v/>
      </c>
      <c r="O12" s="8" t="str">
        <f aca="false">IF(F12="","",IF(E12="High",الإعدادات!$B$5,IF(E12="Medium",الإعدادات!$B$6,الإعدادات!$B$7)))</f>
        <v/>
      </c>
      <c r="P12" s="8" t="str">
        <f aca="false">IF(F12="","",IF(AND(G12="نعم",N(H12)&gt;=الإعدادات!$B$8),الإعدادات!$B$9,0))</f>
        <v/>
      </c>
      <c r="Q12" s="8" t="str">
        <f aca="false">IF(F12="","",IF(I12="نعم",الإعدادات!$B$10,0))</f>
        <v/>
      </c>
      <c r="R12" s="9" t="str">
        <f aca="false">IF(F12="","",N12+O12+P12+Q12)</f>
        <v/>
      </c>
      <c r="S12" s="8" t="str">
        <f aca="false">IF(F12="","",IF(M12="Credit Card",MAX(0,R12+N(W12))*الإعدادات!$B$16,MAX(0,R12+N(W12))/الإعدادات!$B$15))</f>
        <v/>
      </c>
      <c r="T12" s="10" t="str">
        <f aca="false">IF(OR(F12="",N(F12)=0),"",(N(K12)+S12)/F12)</f>
        <v/>
      </c>
      <c r="U12" s="5" t="str">
        <f aca="false">IF(C12="","",IF(AND(C12&gt;=الإعدادات!$B$12,C12&lt;=الإعدادات!$B$13),"نعم","لا"))</f>
        <v/>
      </c>
      <c r="V12" s="5" t="str">
        <f aca="false">IF(F12="","",IF(U12="لا","مرفوض - السن",IF(N(K12)/F12&gt;الإعدادات!$B$11,"مرفوض - DBR",IF(N(L12)&gt;الإعدادات!$B$14,"مراجعة - Facilities",IF(T12&gt;الإعدادات!$B$11,"مقبول - قلّل الليميت","مقبول")))))</f>
        <v/>
      </c>
      <c r="W12" s="7"/>
      <c r="X12" s="11" t="str">
        <f aca="false">IF(F12="","",IF(LEFT(V12,5)="مرفوض",0,MAX(0,R12+N(W12))))</f>
        <v/>
      </c>
      <c r="Y12" s="6"/>
    </row>
    <row r="13" customFormat="false" ht="15" hidden="false" customHeight="false" outlineLevel="0" collapsed="false">
      <c r="A13" s="5" t="n">
        <v>9</v>
      </c>
      <c r="B13" s="6"/>
      <c r="C13" s="6"/>
      <c r="D13" s="6"/>
      <c r="E13" s="6"/>
      <c r="F13" s="7"/>
      <c r="G13" s="6"/>
      <c r="H13" s="6"/>
      <c r="I13" s="6"/>
      <c r="J13" s="7"/>
      <c r="K13" s="7"/>
      <c r="L13" s="6"/>
      <c r="M13" s="6"/>
      <c r="N13" s="8" t="str">
        <f aca="false">IF(F13="","",F13*الإعدادات!$B$4)</f>
        <v/>
      </c>
      <c r="O13" s="8" t="str">
        <f aca="false">IF(F13="","",IF(E13="High",الإعدادات!$B$5,IF(E13="Medium",الإعدادات!$B$6,الإعدادات!$B$7)))</f>
        <v/>
      </c>
      <c r="P13" s="8" t="str">
        <f aca="false">IF(F13="","",IF(AND(G13="نعم",N(H13)&gt;=الإعدادات!$B$8),الإعدادات!$B$9,0))</f>
        <v/>
      </c>
      <c r="Q13" s="8" t="str">
        <f aca="false">IF(F13="","",IF(I13="نعم",الإعدادات!$B$10,0))</f>
        <v/>
      </c>
      <c r="R13" s="9" t="str">
        <f aca="false">IF(F13="","",N13+O13+P13+Q13)</f>
        <v/>
      </c>
      <c r="S13" s="8" t="str">
        <f aca="false">IF(F13="","",IF(M13="Credit Card",MAX(0,R13+N(W13))*الإعدادات!$B$16,MAX(0,R13+N(W13))/الإعدادات!$B$15))</f>
        <v/>
      </c>
      <c r="T13" s="10" t="str">
        <f aca="false">IF(OR(F13="",N(F13)=0),"",(N(K13)+S13)/F13)</f>
        <v/>
      </c>
      <c r="U13" s="5" t="str">
        <f aca="false">IF(C13="","",IF(AND(C13&gt;=الإعدادات!$B$12,C13&lt;=الإعدادات!$B$13),"نعم","لا"))</f>
        <v/>
      </c>
      <c r="V13" s="5" t="str">
        <f aca="false">IF(F13="","",IF(U13="لا","مرفوض - السن",IF(N(K13)/F13&gt;الإعدادات!$B$11,"مرفوض - DBR",IF(N(L13)&gt;الإعدادات!$B$14,"مراجعة - Facilities",IF(T13&gt;الإعدادات!$B$11,"مقبول - قلّل الليميت","مقبول")))))</f>
        <v/>
      </c>
      <c r="W13" s="7"/>
      <c r="X13" s="11" t="str">
        <f aca="false">IF(F13="","",IF(LEFT(V13,5)="مرفوض",0,MAX(0,R13+N(W13))))</f>
        <v/>
      </c>
      <c r="Y13" s="6"/>
    </row>
    <row r="14" customFormat="false" ht="15" hidden="false" customHeight="false" outlineLevel="0" collapsed="false">
      <c r="A14" s="5" t="n">
        <v>10</v>
      </c>
      <c r="B14" s="6"/>
      <c r="C14" s="6"/>
      <c r="D14" s="6"/>
      <c r="E14" s="6"/>
      <c r="F14" s="7"/>
      <c r="G14" s="6"/>
      <c r="H14" s="6"/>
      <c r="I14" s="6"/>
      <c r="J14" s="7"/>
      <c r="K14" s="7"/>
      <c r="L14" s="6"/>
      <c r="M14" s="6"/>
      <c r="N14" s="8" t="str">
        <f aca="false">IF(F14="","",F14*الإعدادات!$B$4)</f>
        <v/>
      </c>
      <c r="O14" s="8" t="str">
        <f aca="false">IF(F14="","",IF(E14="High",الإعدادات!$B$5,IF(E14="Medium",الإعدادات!$B$6,الإعدادات!$B$7)))</f>
        <v/>
      </c>
      <c r="P14" s="8" t="str">
        <f aca="false">IF(F14="","",IF(AND(G14="نعم",N(H14)&gt;=الإعدادات!$B$8),الإعدادات!$B$9,0))</f>
        <v/>
      </c>
      <c r="Q14" s="8" t="str">
        <f aca="false">IF(F14="","",IF(I14="نعم",الإعدادات!$B$10,0))</f>
        <v/>
      </c>
      <c r="R14" s="9" t="str">
        <f aca="false">IF(F14="","",N14+O14+P14+Q14)</f>
        <v/>
      </c>
      <c r="S14" s="8" t="str">
        <f aca="false">IF(F14="","",IF(M14="Credit Card",MAX(0,R14+N(W14))*الإعدادات!$B$16,MAX(0,R14+N(W14))/الإعدادات!$B$15))</f>
        <v/>
      </c>
      <c r="T14" s="10" t="str">
        <f aca="false">IF(OR(F14="",N(F14)=0),"",(N(K14)+S14)/F14)</f>
        <v/>
      </c>
      <c r="U14" s="5" t="str">
        <f aca="false">IF(C14="","",IF(AND(C14&gt;=الإعدادات!$B$12,C14&lt;=الإعدادات!$B$13),"نعم","لا"))</f>
        <v/>
      </c>
      <c r="V14" s="5" t="str">
        <f aca="false">IF(F14="","",IF(U14="لا","مرفوض - السن",IF(N(K14)/F14&gt;الإعدادات!$B$11,"مرفوض - DBR",IF(N(L14)&gt;الإعدادات!$B$14,"مراجعة - Facilities",IF(T14&gt;الإعدادات!$B$11,"مقبول - قلّل الليميت","مقبول")))))</f>
        <v/>
      </c>
      <c r="W14" s="7"/>
      <c r="X14" s="11" t="str">
        <f aca="false">IF(F14="","",IF(LEFT(V14,5)="مرفوض",0,MAX(0,R14+N(W14))))</f>
        <v/>
      </c>
      <c r="Y14" s="6"/>
    </row>
    <row r="15" customFormat="false" ht="15" hidden="false" customHeight="false" outlineLevel="0" collapsed="false">
      <c r="A15" s="5" t="n">
        <v>11</v>
      </c>
      <c r="B15" s="6"/>
      <c r="C15" s="6"/>
      <c r="D15" s="6"/>
      <c r="E15" s="6"/>
      <c r="F15" s="7"/>
      <c r="G15" s="6"/>
      <c r="H15" s="6"/>
      <c r="I15" s="6"/>
      <c r="J15" s="7"/>
      <c r="K15" s="7"/>
      <c r="L15" s="6"/>
      <c r="M15" s="6"/>
      <c r="N15" s="8" t="str">
        <f aca="false">IF(F15="","",F15*الإعدادات!$B$4)</f>
        <v/>
      </c>
      <c r="O15" s="8" t="str">
        <f aca="false">IF(F15="","",IF(E15="High",الإعدادات!$B$5,IF(E15="Medium",الإعدادات!$B$6,الإعدادات!$B$7)))</f>
        <v/>
      </c>
      <c r="P15" s="8" t="str">
        <f aca="false">IF(F15="","",IF(AND(G15="نعم",N(H15)&gt;=الإعدادات!$B$8),الإعدادات!$B$9,0))</f>
        <v/>
      </c>
      <c r="Q15" s="8" t="str">
        <f aca="false">IF(F15="","",IF(I15="نعم",الإعدادات!$B$10,0))</f>
        <v/>
      </c>
      <c r="R15" s="9" t="str">
        <f aca="false">IF(F15="","",N15+O15+P15+Q15)</f>
        <v/>
      </c>
      <c r="S15" s="8" t="str">
        <f aca="false">IF(F15="","",IF(M15="Credit Card",MAX(0,R15+N(W15))*الإعدادات!$B$16,MAX(0,R15+N(W15))/الإعدادات!$B$15))</f>
        <v/>
      </c>
      <c r="T15" s="10" t="str">
        <f aca="false">IF(OR(F15="",N(F15)=0),"",(N(K15)+S15)/F15)</f>
        <v/>
      </c>
      <c r="U15" s="5" t="str">
        <f aca="false">IF(C15="","",IF(AND(C15&gt;=الإعدادات!$B$12,C15&lt;=الإعدادات!$B$13),"نعم","لا"))</f>
        <v/>
      </c>
      <c r="V15" s="5" t="str">
        <f aca="false">IF(F15="","",IF(U15="لا","مرفوض - السن",IF(N(K15)/F15&gt;الإعدادات!$B$11,"مرفوض - DBR",IF(N(L15)&gt;الإعدادات!$B$14,"مراجعة - Facilities",IF(T15&gt;الإعدادات!$B$11,"مقبول - قلّل الليميت","مقبول")))))</f>
        <v/>
      </c>
      <c r="W15" s="7"/>
      <c r="X15" s="11" t="str">
        <f aca="false">IF(F15="","",IF(LEFT(V15,5)="مرفوض",0,MAX(0,R15+N(W15))))</f>
        <v/>
      </c>
      <c r="Y15" s="6"/>
    </row>
    <row r="16" customFormat="false" ht="15" hidden="false" customHeight="false" outlineLevel="0" collapsed="false">
      <c r="A16" s="5" t="n">
        <v>12</v>
      </c>
      <c r="B16" s="6"/>
      <c r="C16" s="6"/>
      <c r="D16" s="6"/>
      <c r="E16" s="6"/>
      <c r="F16" s="7"/>
      <c r="G16" s="6"/>
      <c r="H16" s="6"/>
      <c r="I16" s="6"/>
      <c r="J16" s="7"/>
      <c r="K16" s="7"/>
      <c r="L16" s="6"/>
      <c r="M16" s="6"/>
      <c r="N16" s="8" t="str">
        <f aca="false">IF(F16="","",F16*الإعدادات!$B$4)</f>
        <v/>
      </c>
      <c r="O16" s="8" t="str">
        <f aca="false">IF(F16="","",IF(E16="High",الإعدادات!$B$5,IF(E16="Medium",الإعدادات!$B$6,الإعدادات!$B$7)))</f>
        <v/>
      </c>
      <c r="P16" s="8" t="str">
        <f aca="false">IF(F16="","",IF(AND(G16="نعم",N(H16)&gt;=الإعدادات!$B$8),الإعدادات!$B$9,0))</f>
        <v/>
      </c>
      <c r="Q16" s="8" t="str">
        <f aca="false">IF(F16="","",IF(I16="نعم",الإعدادات!$B$10,0))</f>
        <v/>
      </c>
      <c r="R16" s="9" t="str">
        <f aca="false">IF(F16="","",N16+O16+P16+Q16)</f>
        <v/>
      </c>
      <c r="S16" s="8" t="str">
        <f aca="false">IF(F16="","",IF(M16="Credit Card",MAX(0,R16+N(W16))*الإعدادات!$B$16,MAX(0,R16+N(W16))/الإعدادات!$B$15))</f>
        <v/>
      </c>
      <c r="T16" s="10" t="str">
        <f aca="false">IF(OR(F16="",N(F16)=0),"",(N(K16)+S16)/F16)</f>
        <v/>
      </c>
      <c r="U16" s="5" t="str">
        <f aca="false">IF(C16="","",IF(AND(C16&gt;=الإعدادات!$B$12,C16&lt;=الإعدادات!$B$13),"نعم","لا"))</f>
        <v/>
      </c>
      <c r="V16" s="5" t="str">
        <f aca="false">IF(F16="","",IF(U16="لا","مرفوض - السن",IF(N(K16)/F16&gt;الإعدادات!$B$11,"مرفوض - DBR",IF(N(L16)&gt;الإعدادات!$B$14,"مراجعة - Facilities",IF(T16&gt;الإعدادات!$B$11,"مقبول - قلّل الليميت","مقبول")))))</f>
        <v/>
      </c>
      <c r="W16" s="7"/>
      <c r="X16" s="11" t="str">
        <f aca="false">IF(F16="","",IF(LEFT(V16,5)="مرفوض",0,MAX(0,R16+N(W16))))</f>
        <v/>
      </c>
      <c r="Y16" s="6"/>
    </row>
    <row r="17" customFormat="false" ht="15" hidden="false" customHeight="false" outlineLevel="0" collapsed="false">
      <c r="A17" s="5" t="n">
        <v>13</v>
      </c>
      <c r="B17" s="6"/>
      <c r="C17" s="6"/>
      <c r="D17" s="6"/>
      <c r="E17" s="6"/>
      <c r="F17" s="7"/>
      <c r="G17" s="6"/>
      <c r="H17" s="6"/>
      <c r="I17" s="6"/>
      <c r="J17" s="7"/>
      <c r="K17" s="7"/>
      <c r="L17" s="6"/>
      <c r="M17" s="6"/>
      <c r="N17" s="8" t="str">
        <f aca="false">IF(F17="","",F17*الإعدادات!$B$4)</f>
        <v/>
      </c>
      <c r="O17" s="8" t="str">
        <f aca="false">IF(F17="","",IF(E17="High",الإعدادات!$B$5,IF(E17="Medium",الإعدادات!$B$6,الإعدادات!$B$7)))</f>
        <v/>
      </c>
      <c r="P17" s="8" t="str">
        <f aca="false">IF(F17="","",IF(AND(G17="نعم",N(H17)&gt;=الإعدادات!$B$8),الإعدادات!$B$9,0))</f>
        <v/>
      </c>
      <c r="Q17" s="8" t="str">
        <f aca="false">IF(F17="","",IF(I17="نعم",الإعدادات!$B$10,0))</f>
        <v/>
      </c>
      <c r="R17" s="9" t="str">
        <f aca="false">IF(F17="","",N17+O17+P17+Q17)</f>
        <v/>
      </c>
      <c r="S17" s="8" t="str">
        <f aca="false">IF(F17="","",IF(M17="Credit Card",MAX(0,R17+N(W17))*الإعدادات!$B$16,MAX(0,R17+N(W17))/الإعدادات!$B$15))</f>
        <v/>
      </c>
      <c r="T17" s="10" t="str">
        <f aca="false">IF(OR(F17="",N(F17)=0),"",(N(K17)+S17)/F17)</f>
        <v/>
      </c>
      <c r="U17" s="5" t="str">
        <f aca="false">IF(C17="","",IF(AND(C17&gt;=الإعدادات!$B$12,C17&lt;=الإعدادات!$B$13),"نعم","لا"))</f>
        <v/>
      </c>
      <c r="V17" s="5" t="str">
        <f aca="false">IF(F17="","",IF(U17="لا","مرفوض - السن",IF(N(K17)/F17&gt;الإعدادات!$B$11,"مرفوض - DBR",IF(N(L17)&gt;الإعدادات!$B$14,"مراجعة - Facilities",IF(T17&gt;الإعدادات!$B$11,"مقبول - قلّل الليميت","مقبول")))))</f>
        <v/>
      </c>
      <c r="W17" s="7"/>
      <c r="X17" s="11" t="str">
        <f aca="false">IF(F17="","",IF(LEFT(V17,5)="مرفوض",0,MAX(0,R17+N(W17))))</f>
        <v/>
      </c>
      <c r="Y17" s="6"/>
    </row>
    <row r="18" customFormat="false" ht="15" hidden="false" customHeight="false" outlineLevel="0" collapsed="false">
      <c r="A18" s="5" t="n">
        <v>14</v>
      </c>
      <c r="B18" s="6"/>
      <c r="C18" s="6"/>
      <c r="D18" s="6"/>
      <c r="E18" s="6"/>
      <c r="F18" s="7"/>
      <c r="G18" s="6"/>
      <c r="H18" s="6"/>
      <c r="I18" s="6"/>
      <c r="J18" s="7"/>
      <c r="K18" s="7"/>
      <c r="L18" s="6"/>
      <c r="M18" s="6"/>
      <c r="N18" s="8" t="str">
        <f aca="false">IF(F18="","",F18*الإعدادات!$B$4)</f>
        <v/>
      </c>
      <c r="O18" s="8" t="str">
        <f aca="false">IF(F18="","",IF(E18="High",الإعدادات!$B$5,IF(E18="Medium",الإعدادات!$B$6,الإعدادات!$B$7)))</f>
        <v/>
      </c>
      <c r="P18" s="8" t="str">
        <f aca="false">IF(F18="","",IF(AND(G18="نعم",N(H18)&gt;=الإعدادات!$B$8),الإعدادات!$B$9,0))</f>
        <v/>
      </c>
      <c r="Q18" s="8" t="str">
        <f aca="false">IF(F18="","",IF(I18="نعم",الإعدادات!$B$10,0))</f>
        <v/>
      </c>
      <c r="R18" s="9" t="str">
        <f aca="false">IF(F18="","",N18+O18+P18+Q18)</f>
        <v/>
      </c>
      <c r="S18" s="8" t="str">
        <f aca="false">IF(F18="","",IF(M18="Credit Card",MAX(0,R18+N(W18))*الإعدادات!$B$16,MAX(0,R18+N(W18))/الإعدادات!$B$15))</f>
        <v/>
      </c>
      <c r="T18" s="10" t="str">
        <f aca="false">IF(OR(F18="",N(F18)=0),"",(N(K18)+S18)/F18)</f>
        <v/>
      </c>
      <c r="U18" s="5" t="str">
        <f aca="false">IF(C18="","",IF(AND(C18&gt;=الإعدادات!$B$12,C18&lt;=الإعدادات!$B$13),"نعم","لا"))</f>
        <v/>
      </c>
      <c r="V18" s="5" t="str">
        <f aca="false">IF(F18="","",IF(U18="لا","مرفوض - السن",IF(N(K18)/F18&gt;الإعدادات!$B$11,"مرفوض - DBR",IF(N(L18)&gt;الإعدادات!$B$14,"مراجعة - Facilities",IF(T18&gt;الإعدادات!$B$11,"مقبول - قلّل الليميت","مقبول")))))</f>
        <v/>
      </c>
      <c r="W18" s="7"/>
      <c r="X18" s="11" t="str">
        <f aca="false">IF(F18="","",IF(LEFT(V18,5)="مرفوض",0,MAX(0,R18+N(W18))))</f>
        <v/>
      </c>
      <c r="Y18" s="6"/>
    </row>
    <row r="19" customFormat="false" ht="15" hidden="false" customHeight="false" outlineLevel="0" collapsed="false">
      <c r="A19" s="5" t="n">
        <v>15</v>
      </c>
      <c r="B19" s="6"/>
      <c r="C19" s="6"/>
      <c r="D19" s="6"/>
      <c r="E19" s="6"/>
      <c r="F19" s="7"/>
      <c r="G19" s="6"/>
      <c r="H19" s="6"/>
      <c r="I19" s="6"/>
      <c r="J19" s="7"/>
      <c r="K19" s="7"/>
      <c r="L19" s="6"/>
      <c r="M19" s="6"/>
      <c r="N19" s="8" t="str">
        <f aca="false">IF(F19="","",F19*الإعدادات!$B$4)</f>
        <v/>
      </c>
      <c r="O19" s="8" t="str">
        <f aca="false">IF(F19="","",IF(E19="High",الإعدادات!$B$5,IF(E19="Medium",الإعدادات!$B$6,الإعدادات!$B$7)))</f>
        <v/>
      </c>
      <c r="P19" s="8" t="str">
        <f aca="false">IF(F19="","",IF(AND(G19="نعم",N(H19)&gt;=الإعدادات!$B$8),الإعدادات!$B$9,0))</f>
        <v/>
      </c>
      <c r="Q19" s="8" t="str">
        <f aca="false">IF(F19="","",IF(I19="نعم",الإعدادات!$B$10,0))</f>
        <v/>
      </c>
      <c r="R19" s="9" t="str">
        <f aca="false">IF(F19="","",N19+O19+P19+Q19)</f>
        <v/>
      </c>
      <c r="S19" s="8" t="str">
        <f aca="false">IF(F19="","",IF(M19="Credit Card",MAX(0,R19+N(W19))*الإعدادات!$B$16,MAX(0,R19+N(W19))/الإعدادات!$B$15))</f>
        <v/>
      </c>
      <c r="T19" s="10" t="str">
        <f aca="false">IF(OR(F19="",N(F19)=0),"",(N(K19)+S19)/F19)</f>
        <v/>
      </c>
      <c r="U19" s="5" t="str">
        <f aca="false">IF(C19="","",IF(AND(C19&gt;=الإعدادات!$B$12,C19&lt;=الإعدادات!$B$13),"نعم","لا"))</f>
        <v/>
      </c>
      <c r="V19" s="5" t="str">
        <f aca="false">IF(F19="","",IF(U19="لا","مرفوض - السن",IF(N(K19)/F19&gt;الإعدادات!$B$11,"مرفوض - DBR",IF(N(L19)&gt;الإعدادات!$B$14,"مراجعة - Facilities",IF(T19&gt;الإعدادات!$B$11,"مقبول - قلّل الليميت","مقبول")))))</f>
        <v/>
      </c>
      <c r="W19" s="7"/>
      <c r="X19" s="11" t="str">
        <f aca="false">IF(F19="","",IF(LEFT(V19,5)="مرفوض",0,MAX(0,R19+N(W19))))</f>
        <v/>
      </c>
      <c r="Y19" s="6"/>
    </row>
    <row r="20" customFormat="false" ht="15" hidden="false" customHeight="false" outlineLevel="0" collapsed="false">
      <c r="A20" s="5" t="n">
        <v>16</v>
      </c>
      <c r="B20" s="6"/>
      <c r="C20" s="6"/>
      <c r="D20" s="6"/>
      <c r="E20" s="6"/>
      <c r="F20" s="7"/>
      <c r="G20" s="6"/>
      <c r="H20" s="6"/>
      <c r="I20" s="6"/>
      <c r="J20" s="7"/>
      <c r="K20" s="7"/>
      <c r="L20" s="6"/>
      <c r="M20" s="6"/>
      <c r="N20" s="8" t="str">
        <f aca="false">IF(F20="","",F20*الإعدادات!$B$4)</f>
        <v/>
      </c>
      <c r="O20" s="8" t="str">
        <f aca="false">IF(F20="","",IF(E20="High",الإعدادات!$B$5,IF(E20="Medium",الإعدادات!$B$6,الإعدادات!$B$7)))</f>
        <v/>
      </c>
      <c r="P20" s="8" t="str">
        <f aca="false">IF(F20="","",IF(AND(G20="نعم",N(H20)&gt;=الإعدادات!$B$8),الإعدادات!$B$9,0))</f>
        <v/>
      </c>
      <c r="Q20" s="8" t="str">
        <f aca="false">IF(F20="","",IF(I20="نعم",الإعدادات!$B$10,0))</f>
        <v/>
      </c>
      <c r="R20" s="9" t="str">
        <f aca="false">IF(F20="","",N20+O20+P20+Q20)</f>
        <v/>
      </c>
      <c r="S20" s="8" t="str">
        <f aca="false">IF(F20="","",IF(M20="Credit Card",MAX(0,R20+N(W20))*الإعدادات!$B$16,MAX(0,R20+N(W20))/الإعدادات!$B$15))</f>
        <v/>
      </c>
      <c r="T20" s="10" t="str">
        <f aca="false">IF(OR(F20="",N(F20)=0),"",(N(K20)+S20)/F20)</f>
        <v/>
      </c>
      <c r="U20" s="5" t="str">
        <f aca="false">IF(C20="","",IF(AND(C20&gt;=الإعدادات!$B$12,C20&lt;=الإعدادات!$B$13),"نعم","لا"))</f>
        <v/>
      </c>
      <c r="V20" s="5" t="str">
        <f aca="false">IF(F20="","",IF(U20="لا","مرفوض - السن",IF(N(K20)/F20&gt;الإعدادات!$B$11,"مرفوض - DBR",IF(N(L20)&gt;الإعدادات!$B$14,"مراجعة - Facilities",IF(T20&gt;الإعدادات!$B$11,"مقبول - قلّل الليميت","مقبول")))))</f>
        <v/>
      </c>
      <c r="W20" s="7"/>
      <c r="X20" s="11" t="str">
        <f aca="false">IF(F20="","",IF(LEFT(V20,5)="مرفوض",0,MAX(0,R20+N(W20))))</f>
        <v/>
      </c>
      <c r="Y20" s="6"/>
    </row>
    <row r="21" customFormat="false" ht="15" hidden="false" customHeight="false" outlineLevel="0" collapsed="false">
      <c r="A21" s="5" t="n">
        <v>17</v>
      </c>
      <c r="B21" s="6"/>
      <c r="C21" s="6"/>
      <c r="D21" s="6"/>
      <c r="E21" s="6"/>
      <c r="F21" s="7"/>
      <c r="G21" s="6"/>
      <c r="H21" s="6"/>
      <c r="I21" s="6"/>
      <c r="J21" s="7"/>
      <c r="K21" s="7"/>
      <c r="L21" s="6"/>
      <c r="M21" s="6"/>
      <c r="N21" s="8" t="str">
        <f aca="false">IF(F21="","",F21*الإعدادات!$B$4)</f>
        <v/>
      </c>
      <c r="O21" s="8" t="str">
        <f aca="false">IF(F21="","",IF(E21="High",الإعدادات!$B$5,IF(E21="Medium",الإعدادات!$B$6,الإعدادات!$B$7)))</f>
        <v/>
      </c>
      <c r="P21" s="8" t="str">
        <f aca="false">IF(F21="","",IF(AND(G21="نعم",N(H21)&gt;=الإعدادات!$B$8),الإعدادات!$B$9,0))</f>
        <v/>
      </c>
      <c r="Q21" s="8" t="str">
        <f aca="false">IF(F21="","",IF(I21="نعم",الإعدادات!$B$10,0))</f>
        <v/>
      </c>
      <c r="R21" s="9" t="str">
        <f aca="false">IF(F21="","",N21+O21+P21+Q21)</f>
        <v/>
      </c>
      <c r="S21" s="8" t="str">
        <f aca="false">IF(F21="","",IF(M21="Credit Card",MAX(0,R21+N(W21))*الإعدادات!$B$16,MAX(0,R21+N(W21))/الإعدادات!$B$15))</f>
        <v/>
      </c>
      <c r="T21" s="10" t="str">
        <f aca="false">IF(OR(F21="",N(F21)=0),"",(N(K21)+S21)/F21)</f>
        <v/>
      </c>
      <c r="U21" s="5" t="str">
        <f aca="false">IF(C21="","",IF(AND(C21&gt;=الإعدادات!$B$12,C21&lt;=الإعدادات!$B$13),"نعم","لا"))</f>
        <v/>
      </c>
      <c r="V21" s="5" t="str">
        <f aca="false">IF(F21="","",IF(U21="لا","مرفوض - السن",IF(N(K21)/F21&gt;الإعدادات!$B$11,"مرفوض - DBR",IF(N(L21)&gt;الإعدادات!$B$14,"مراجعة - Facilities",IF(T21&gt;الإعدادات!$B$11,"مقبول - قلّل الليميت","مقبول")))))</f>
        <v/>
      </c>
      <c r="W21" s="7"/>
      <c r="X21" s="11" t="str">
        <f aca="false">IF(F21="","",IF(LEFT(V21,5)="مرفوض",0,MAX(0,R21+N(W21))))</f>
        <v/>
      </c>
      <c r="Y21" s="6"/>
    </row>
    <row r="22" customFormat="false" ht="15" hidden="false" customHeight="false" outlineLevel="0" collapsed="false">
      <c r="A22" s="5" t="n">
        <v>18</v>
      </c>
      <c r="B22" s="6"/>
      <c r="C22" s="6"/>
      <c r="D22" s="6"/>
      <c r="E22" s="6"/>
      <c r="F22" s="7"/>
      <c r="G22" s="6"/>
      <c r="H22" s="6"/>
      <c r="I22" s="6"/>
      <c r="J22" s="7"/>
      <c r="K22" s="7"/>
      <c r="L22" s="6"/>
      <c r="M22" s="6"/>
      <c r="N22" s="8" t="str">
        <f aca="false">IF(F22="","",F22*الإعدادات!$B$4)</f>
        <v/>
      </c>
      <c r="O22" s="8" t="str">
        <f aca="false">IF(F22="","",IF(E22="High",الإعدادات!$B$5,IF(E22="Medium",الإعدادات!$B$6,الإعدادات!$B$7)))</f>
        <v/>
      </c>
      <c r="P22" s="8" t="str">
        <f aca="false">IF(F22="","",IF(AND(G22="نعم",N(H22)&gt;=الإعدادات!$B$8),الإعدادات!$B$9,0))</f>
        <v/>
      </c>
      <c r="Q22" s="8" t="str">
        <f aca="false">IF(F22="","",IF(I22="نعم",الإعدادات!$B$10,0))</f>
        <v/>
      </c>
      <c r="R22" s="9" t="str">
        <f aca="false">IF(F22="","",N22+O22+P22+Q22)</f>
        <v/>
      </c>
      <c r="S22" s="8" t="str">
        <f aca="false">IF(F22="","",IF(M22="Credit Card",MAX(0,R22+N(W22))*الإعدادات!$B$16,MAX(0,R22+N(W22))/الإعدادات!$B$15))</f>
        <v/>
      </c>
      <c r="T22" s="10" t="str">
        <f aca="false">IF(OR(F22="",N(F22)=0),"",(N(K22)+S22)/F22)</f>
        <v/>
      </c>
      <c r="U22" s="5" t="str">
        <f aca="false">IF(C22="","",IF(AND(C22&gt;=الإعدادات!$B$12,C22&lt;=الإعدادات!$B$13),"نعم","لا"))</f>
        <v/>
      </c>
      <c r="V22" s="5" t="str">
        <f aca="false">IF(F22="","",IF(U22="لا","مرفوض - السن",IF(N(K22)/F22&gt;الإعدادات!$B$11,"مرفوض - DBR",IF(N(L22)&gt;الإعدادات!$B$14,"مراجعة - Facilities",IF(T22&gt;الإعدادات!$B$11,"مقبول - قلّل الليميت","مقبول")))))</f>
        <v/>
      </c>
      <c r="W22" s="7"/>
      <c r="X22" s="11" t="str">
        <f aca="false">IF(F22="","",IF(LEFT(V22,5)="مرفوض",0,MAX(0,R22+N(W22))))</f>
        <v/>
      </c>
      <c r="Y22" s="6"/>
    </row>
    <row r="23" customFormat="false" ht="15" hidden="false" customHeight="false" outlineLevel="0" collapsed="false">
      <c r="A23" s="5" t="n">
        <v>19</v>
      </c>
      <c r="B23" s="6"/>
      <c r="C23" s="6"/>
      <c r="D23" s="6"/>
      <c r="E23" s="6"/>
      <c r="F23" s="7"/>
      <c r="G23" s="6"/>
      <c r="H23" s="6"/>
      <c r="I23" s="6"/>
      <c r="J23" s="7"/>
      <c r="K23" s="7"/>
      <c r="L23" s="6"/>
      <c r="M23" s="6"/>
      <c r="N23" s="8" t="str">
        <f aca="false">IF(F23="","",F23*الإعدادات!$B$4)</f>
        <v/>
      </c>
      <c r="O23" s="8" t="str">
        <f aca="false">IF(F23="","",IF(E23="High",الإعدادات!$B$5,IF(E23="Medium",الإعدادات!$B$6,الإعدادات!$B$7)))</f>
        <v/>
      </c>
      <c r="P23" s="8" t="str">
        <f aca="false">IF(F23="","",IF(AND(G23="نعم",N(H23)&gt;=الإعدادات!$B$8),الإعدادات!$B$9,0))</f>
        <v/>
      </c>
      <c r="Q23" s="8" t="str">
        <f aca="false">IF(F23="","",IF(I23="نعم",الإعدادات!$B$10,0))</f>
        <v/>
      </c>
      <c r="R23" s="9" t="str">
        <f aca="false">IF(F23="","",N23+O23+P23+Q23)</f>
        <v/>
      </c>
      <c r="S23" s="8" t="str">
        <f aca="false">IF(F23="","",IF(M23="Credit Card",MAX(0,R23+N(W23))*الإعدادات!$B$16,MAX(0,R23+N(W23))/الإعدادات!$B$15))</f>
        <v/>
      </c>
      <c r="T23" s="10" t="str">
        <f aca="false">IF(OR(F23="",N(F23)=0),"",(N(K23)+S23)/F23)</f>
        <v/>
      </c>
      <c r="U23" s="5" t="str">
        <f aca="false">IF(C23="","",IF(AND(C23&gt;=الإعدادات!$B$12,C23&lt;=الإعدادات!$B$13),"نعم","لا"))</f>
        <v/>
      </c>
      <c r="V23" s="5" t="str">
        <f aca="false">IF(F23="","",IF(U23="لا","مرفوض - السن",IF(N(K23)/F23&gt;الإعدادات!$B$11,"مرفوض - DBR",IF(N(L23)&gt;الإعدادات!$B$14,"مراجعة - Facilities",IF(T23&gt;الإعدادات!$B$11,"مقبول - قلّل الليميت","مقبول")))))</f>
        <v/>
      </c>
      <c r="W23" s="7"/>
      <c r="X23" s="11" t="str">
        <f aca="false">IF(F23="","",IF(LEFT(V23,5)="مرفوض",0,MAX(0,R23+N(W23))))</f>
        <v/>
      </c>
      <c r="Y23" s="6"/>
    </row>
    <row r="24" customFormat="false" ht="15" hidden="false" customHeight="false" outlineLevel="0" collapsed="false">
      <c r="A24" s="5" t="n">
        <v>20</v>
      </c>
      <c r="B24" s="6"/>
      <c r="C24" s="6"/>
      <c r="D24" s="6"/>
      <c r="E24" s="6"/>
      <c r="F24" s="7"/>
      <c r="G24" s="6"/>
      <c r="H24" s="6"/>
      <c r="I24" s="6"/>
      <c r="J24" s="7"/>
      <c r="K24" s="7"/>
      <c r="L24" s="6"/>
      <c r="M24" s="6"/>
      <c r="N24" s="8" t="str">
        <f aca="false">IF(F24="","",F24*الإعدادات!$B$4)</f>
        <v/>
      </c>
      <c r="O24" s="8" t="str">
        <f aca="false">IF(F24="","",IF(E24="High",الإعدادات!$B$5,IF(E24="Medium",الإعدادات!$B$6,الإعدادات!$B$7)))</f>
        <v/>
      </c>
      <c r="P24" s="8" t="str">
        <f aca="false">IF(F24="","",IF(AND(G24="نعم",N(H24)&gt;=الإعدادات!$B$8),الإعدادات!$B$9,0))</f>
        <v/>
      </c>
      <c r="Q24" s="8" t="str">
        <f aca="false">IF(F24="","",IF(I24="نعم",الإعدادات!$B$10,0))</f>
        <v/>
      </c>
      <c r="R24" s="9" t="str">
        <f aca="false">IF(F24="","",N24+O24+P24+Q24)</f>
        <v/>
      </c>
      <c r="S24" s="8" t="str">
        <f aca="false">IF(F24="","",IF(M24="Credit Card",MAX(0,R24+N(W24))*الإعدادات!$B$16,MAX(0,R24+N(W24))/الإعدادات!$B$15))</f>
        <v/>
      </c>
      <c r="T24" s="10" t="str">
        <f aca="false">IF(OR(F24="",N(F24)=0),"",(N(K24)+S24)/F24)</f>
        <v/>
      </c>
      <c r="U24" s="5" t="str">
        <f aca="false">IF(C24="","",IF(AND(C24&gt;=الإعدادات!$B$12,C24&lt;=الإعدادات!$B$13),"نعم","لا"))</f>
        <v/>
      </c>
      <c r="V24" s="5" t="str">
        <f aca="false">IF(F24="","",IF(U24="لا","مرفوض - السن",IF(N(K24)/F24&gt;الإعدادات!$B$11,"مرفوض - DBR",IF(N(L24)&gt;الإعدادات!$B$14,"مراجعة - Facilities",IF(T24&gt;الإعدادات!$B$11,"مقبول - قلّل الليميت","مقبول")))))</f>
        <v/>
      </c>
      <c r="W24" s="7"/>
      <c r="X24" s="11" t="str">
        <f aca="false">IF(F24="","",IF(LEFT(V24,5)="مرفوض",0,MAX(0,R24+N(W24))))</f>
        <v/>
      </c>
      <c r="Y24" s="6"/>
    </row>
    <row r="25" customFormat="false" ht="15" hidden="false" customHeight="false" outlineLevel="0" collapsed="false">
      <c r="A25" s="5" t="n">
        <v>21</v>
      </c>
      <c r="B25" s="6"/>
      <c r="C25" s="6"/>
      <c r="D25" s="6"/>
      <c r="E25" s="6"/>
      <c r="F25" s="7"/>
      <c r="G25" s="6"/>
      <c r="H25" s="6"/>
      <c r="I25" s="6"/>
      <c r="J25" s="7"/>
      <c r="K25" s="7"/>
      <c r="L25" s="6"/>
      <c r="M25" s="6"/>
      <c r="N25" s="8" t="str">
        <f aca="false">IF(F25="","",F25*الإعدادات!$B$4)</f>
        <v/>
      </c>
      <c r="O25" s="8" t="str">
        <f aca="false">IF(F25="","",IF(E25="High",الإعدادات!$B$5,IF(E25="Medium",الإعدادات!$B$6,الإعدادات!$B$7)))</f>
        <v/>
      </c>
      <c r="P25" s="8" t="str">
        <f aca="false">IF(F25="","",IF(AND(G25="نعم",N(H25)&gt;=الإعدادات!$B$8),الإعدادات!$B$9,0))</f>
        <v/>
      </c>
      <c r="Q25" s="8" t="str">
        <f aca="false">IF(F25="","",IF(I25="نعم",الإعدادات!$B$10,0))</f>
        <v/>
      </c>
      <c r="R25" s="9" t="str">
        <f aca="false">IF(F25="","",N25+O25+P25+Q25)</f>
        <v/>
      </c>
      <c r="S25" s="8" t="str">
        <f aca="false">IF(F25="","",IF(M25="Credit Card",MAX(0,R25+N(W25))*الإعدادات!$B$16,MAX(0,R25+N(W25))/الإعدادات!$B$15))</f>
        <v/>
      </c>
      <c r="T25" s="10" t="str">
        <f aca="false">IF(OR(F25="",N(F25)=0),"",(N(K25)+S25)/F25)</f>
        <v/>
      </c>
      <c r="U25" s="5" t="str">
        <f aca="false">IF(C25="","",IF(AND(C25&gt;=الإعدادات!$B$12,C25&lt;=الإعدادات!$B$13),"نعم","لا"))</f>
        <v/>
      </c>
      <c r="V25" s="5" t="str">
        <f aca="false">IF(F25="","",IF(U25="لا","مرفوض - السن",IF(N(K25)/F25&gt;الإعدادات!$B$11,"مرفوض - DBR",IF(N(L25)&gt;الإعدادات!$B$14,"مراجعة - Facilities",IF(T25&gt;الإعدادات!$B$11,"مقبول - قلّل الليميت","مقبول")))))</f>
        <v/>
      </c>
      <c r="W25" s="7"/>
      <c r="X25" s="11" t="str">
        <f aca="false">IF(F25="","",IF(LEFT(V25,5)="مرفوض",0,MAX(0,R25+N(W25))))</f>
        <v/>
      </c>
      <c r="Y25" s="6"/>
    </row>
    <row r="26" customFormat="false" ht="15" hidden="false" customHeight="false" outlineLevel="0" collapsed="false">
      <c r="A26" s="5" t="n">
        <v>22</v>
      </c>
      <c r="B26" s="6"/>
      <c r="C26" s="6"/>
      <c r="D26" s="6"/>
      <c r="E26" s="6"/>
      <c r="F26" s="7"/>
      <c r="G26" s="6"/>
      <c r="H26" s="6"/>
      <c r="I26" s="6"/>
      <c r="J26" s="7"/>
      <c r="K26" s="7"/>
      <c r="L26" s="6"/>
      <c r="M26" s="6"/>
      <c r="N26" s="8" t="str">
        <f aca="false">IF(F26="","",F26*الإعدادات!$B$4)</f>
        <v/>
      </c>
      <c r="O26" s="8" t="str">
        <f aca="false">IF(F26="","",IF(E26="High",الإعدادات!$B$5,IF(E26="Medium",الإعدادات!$B$6,الإعدادات!$B$7)))</f>
        <v/>
      </c>
      <c r="P26" s="8" t="str">
        <f aca="false">IF(F26="","",IF(AND(G26="نعم",N(H26)&gt;=الإعدادات!$B$8),الإعدادات!$B$9,0))</f>
        <v/>
      </c>
      <c r="Q26" s="8" t="str">
        <f aca="false">IF(F26="","",IF(I26="نعم",الإعدادات!$B$10,0))</f>
        <v/>
      </c>
      <c r="R26" s="9" t="str">
        <f aca="false">IF(F26="","",N26+O26+P26+Q26)</f>
        <v/>
      </c>
      <c r="S26" s="8" t="str">
        <f aca="false">IF(F26="","",IF(M26="Credit Card",MAX(0,R26+N(W26))*الإعدادات!$B$16,MAX(0,R26+N(W26))/الإعدادات!$B$15))</f>
        <v/>
      </c>
      <c r="T26" s="10" t="str">
        <f aca="false">IF(OR(F26="",N(F26)=0),"",(N(K26)+S26)/F26)</f>
        <v/>
      </c>
      <c r="U26" s="5" t="str">
        <f aca="false">IF(C26="","",IF(AND(C26&gt;=الإعدادات!$B$12,C26&lt;=الإعدادات!$B$13),"نعم","لا"))</f>
        <v/>
      </c>
      <c r="V26" s="5" t="str">
        <f aca="false">IF(F26="","",IF(U26="لا","مرفوض - السن",IF(N(K26)/F26&gt;الإعدادات!$B$11,"مرفوض - DBR",IF(N(L26)&gt;الإعدادات!$B$14,"مراجعة - Facilities",IF(T26&gt;الإعدادات!$B$11,"مقبول - قلّل الليميت","مقبول")))))</f>
        <v/>
      </c>
      <c r="W26" s="7"/>
      <c r="X26" s="11" t="str">
        <f aca="false">IF(F26="","",IF(LEFT(V26,5)="مرفوض",0,MAX(0,R26+N(W26))))</f>
        <v/>
      </c>
      <c r="Y26" s="6"/>
    </row>
    <row r="27" customFormat="false" ht="15" hidden="false" customHeight="false" outlineLevel="0" collapsed="false">
      <c r="A27" s="5" t="n">
        <v>23</v>
      </c>
      <c r="B27" s="6"/>
      <c r="C27" s="6"/>
      <c r="D27" s="6"/>
      <c r="E27" s="6"/>
      <c r="F27" s="7"/>
      <c r="G27" s="6"/>
      <c r="H27" s="6"/>
      <c r="I27" s="6"/>
      <c r="J27" s="7"/>
      <c r="K27" s="7"/>
      <c r="L27" s="6"/>
      <c r="M27" s="6"/>
      <c r="N27" s="8" t="str">
        <f aca="false">IF(F27="","",F27*الإعدادات!$B$4)</f>
        <v/>
      </c>
      <c r="O27" s="8" t="str">
        <f aca="false">IF(F27="","",IF(E27="High",الإعدادات!$B$5,IF(E27="Medium",الإعدادات!$B$6,الإعدادات!$B$7)))</f>
        <v/>
      </c>
      <c r="P27" s="8" t="str">
        <f aca="false">IF(F27="","",IF(AND(G27="نعم",N(H27)&gt;=الإعدادات!$B$8),الإعدادات!$B$9,0))</f>
        <v/>
      </c>
      <c r="Q27" s="8" t="str">
        <f aca="false">IF(F27="","",IF(I27="نعم",الإعدادات!$B$10,0))</f>
        <v/>
      </c>
      <c r="R27" s="9" t="str">
        <f aca="false">IF(F27="","",N27+O27+P27+Q27)</f>
        <v/>
      </c>
      <c r="S27" s="8" t="str">
        <f aca="false">IF(F27="","",IF(M27="Credit Card",MAX(0,R27+N(W27))*الإعدادات!$B$16,MAX(0,R27+N(W27))/الإعدادات!$B$15))</f>
        <v/>
      </c>
      <c r="T27" s="10" t="str">
        <f aca="false">IF(OR(F27="",N(F27)=0),"",(N(K27)+S27)/F27)</f>
        <v/>
      </c>
      <c r="U27" s="5" t="str">
        <f aca="false">IF(C27="","",IF(AND(C27&gt;=الإعدادات!$B$12,C27&lt;=الإعدادات!$B$13),"نعم","لا"))</f>
        <v/>
      </c>
      <c r="V27" s="5" t="str">
        <f aca="false">IF(F27="","",IF(U27="لا","مرفوض - السن",IF(N(K27)/F27&gt;الإعدادات!$B$11,"مرفوض - DBR",IF(N(L27)&gt;الإعدادات!$B$14,"مراجعة - Facilities",IF(T27&gt;الإعدادات!$B$11,"مقبول - قلّل الليميت","مقبول")))))</f>
        <v/>
      </c>
      <c r="W27" s="7"/>
      <c r="X27" s="11" t="str">
        <f aca="false">IF(F27="","",IF(LEFT(V27,5)="مرفوض",0,MAX(0,R27+N(W27))))</f>
        <v/>
      </c>
      <c r="Y27" s="6"/>
    </row>
    <row r="28" customFormat="false" ht="15" hidden="false" customHeight="false" outlineLevel="0" collapsed="false">
      <c r="A28" s="5" t="n">
        <v>24</v>
      </c>
      <c r="B28" s="6"/>
      <c r="C28" s="6"/>
      <c r="D28" s="6"/>
      <c r="E28" s="6"/>
      <c r="F28" s="7"/>
      <c r="G28" s="6"/>
      <c r="H28" s="6"/>
      <c r="I28" s="6"/>
      <c r="J28" s="7"/>
      <c r="K28" s="7"/>
      <c r="L28" s="6"/>
      <c r="M28" s="6"/>
      <c r="N28" s="8" t="str">
        <f aca="false">IF(F28="","",F28*الإعدادات!$B$4)</f>
        <v/>
      </c>
      <c r="O28" s="8" t="str">
        <f aca="false">IF(F28="","",IF(E28="High",الإعدادات!$B$5,IF(E28="Medium",الإعدادات!$B$6,الإعدادات!$B$7)))</f>
        <v/>
      </c>
      <c r="P28" s="8" t="str">
        <f aca="false">IF(F28="","",IF(AND(G28="نعم",N(H28)&gt;=الإعدادات!$B$8),الإعدادات!$B$9,0))</f>
        <v/>
      </c>
      <c r="Q28" s="8" t="str">
        <f aca="false">IF(F28="","",IF(I28="نعم",الإعدادات!$B$10,0))</f>
        <v/>
      </c>
      <c r="R28" s="9" t="str">
        <f aca="false">IF(F28="","",N28+O28+P28+Q28)</f>
        <v/>
      </c>
      <c r="S28" s="8" t="str">
        <f aca="false">IF(F28="","",IF(M28="Credit Card",MAX(0,R28+N(W28))*الإعدادات!$B$16,MAX(0,R28+N(W28))/الإعدادات!$B$15))</f>
        <v/>
      </c>
      <c r="T28" s="10" t="str">
        <f aca="false">IF(OR(F28="",N(F28)=0),"",(N(K28)+S28)/F28)</f>
        <v/>
      </c>
      <c r="U28" s="5" t="str">
        <f aca="false">IF(C28="","",IF(AND(C28&gt;=الإعدادات!$B$12,C28&lt;=الإعدادات!$B$13),"نعم","لا"))</f>
        <v/>
      </c>
      <c r="V28" s="5" t="str">
        <f aca="false">IF(F28="","",IF(U28="لا","مرفوض - السن",IF(N(K28)/F28&gt;الإعدادات!$B$11,"مرفوض - DBR",IF(N(L28)&gt;الإعدادات!$B$14,"مراجعة - Facilities",IF(T28&gt;الإعدادات!$B$11,"مقبول - قلّل الليميت","مقبول")))))</f>
        <v/>
      </c>
      <c r="W28" s="7"/>
      <c r="X28" s="11" t="str">
        <f aca="false">IF(F28="","",IF(LEFT(V28,5)="مرفوض",0,MAX(0,R28+N(W28))))</f>
        <v/>
      </c>
      <c r="Y28" s="6"/>
    </row>
    <row r="29" customFormat="false" ht="15" hidden="false" customHeight="false" outlineLevel="0" collapsed="false">
      <c r="A29" s="5" t="n">
        <v>25</v>
      </c>
      <c r="B29" s="6"/>
      <c r="C29" s="6"/>
      <c r="D29" s="6"/>
      <c r="E29" s="6"/>
      <c r="F29" s="7"/>
      <c r="G29" s="6"/>
      <c r="H29" s="6"/>
      <c r="I29" s="6"/>
      <c r="J29" s="7"/>
      <c r="K29" s="7"/>
      <c r="L29" s="6"/>
      <c r="M29" s="6"/>
      <c r="N29" s="8" t="str">
        <f aca="false">IF(F29="","",F29*الإعدادات!$B$4)</f>
        <v/>
      </c>
      <c r="O29" s="8" t="str">
        <f aca="false">IF(F29="","",IF(E29="High",الإعدادات!$B$5,IF(E29="Medium",الإعدادات!$B$6,الإعدادات!$B$7)))</f>
        <v/>
      </c>
      <c r="P29" s="8" t="str">
        <f aca="false">IF(F29="","",IF(AND(G29="نعم",N(H29)&gt;=الإعدادات!$B$8),الإعدادات!$B$9,0))</f>
        <v/>
      </c>
      <c r="Q29" s="8" t="str">
        <f aca="false">IF(F29="","",IF(I29="نعم",الإعدادات!$B$10,0))</f>
        <v/>
      </c>
      <c r="R29" s="9" t="str">
        <f aca="false">IF(F29="","",N29+O29+P29+Q29)</f>
        <v/>
      </c>
      <c r="S29" s="8" t="str">
        <f aca="false">IF(F29="","",IF(M29="Credit Card",MAX(0,R29+N(W29))*الإعدادات!$B$16,MAX(0,R29+N(W29))/الإعدادات!$B$15))</f>
        <v/>
      </c>
      <c r="T29" s="10" t="str">
        <f aca="false">IF(OR(F29="",N(F29)=0),"",(N(K29)+S29)/F29)</f>
        <v/>
      </c>
      <c r="U29" s="5" t="str">
        <f aca="false">IF(C29="","",IF(AND(C29&gt;=الإعدادات!$B$12,C29&lt;=الإعدادات!$B$13),"نعم","لا"))</f>
        <v/>
      </c>
      <c r="V29" s="5" t="str">
        <f aca="false">IF(F29="","",IF(U29="لا","مرفوض - السن",IF(N(K29)/F29&gt;الإعدادات!$B$11,"مرفوض - DBR",IF(N(L29)&gt;الإعدادات!$B$14,"مراجعة - Facilities",IF(T29&gt;الإعدادات!$B$11,"مقبول - قلّل الليميت","مقبول")))))</f>
        <v/>
      </c>
      <c r="W29" s="7"/>
      <c r="X29" s="11" t="str">
        <f aca="false">IF(F29="","",IF(LEFT(V29,5)="مرفوض",0,MAX(0,R29+N(W29))))</f>
        <v/>
      </c>
      <c r="Y29" s="6"/>
    </row>
    <row r="30" customFormat="false" ht="15" hidden="false" customHeight="false" outlineLevel="0" collapsed="false">
      <c r="A30" s="5" t="n">
        <v>26</v>
      </c>
      <c r="B30" s="6"/>
      <c r="C30" s="6"/>
      <c r="D30" s="6"/>
      <c r="E30" s="6"/>
      <c r="F30" s="7"/>
      <c r="G30" s="6"/>
      <c r="H30" s="6"/>
      <c r="I30" s="6"/>
      <c r="J30" s="7"/>
      <c r="K30" s="7"/>
      <c r="L30" s="6"/>
      <c r="M30" s="6"/>
      <c r="N30" s="8" t="str">
        <f aca="false">IF(F30="","",F30*الإعدادات!$B$4)</f>
        <v/>
      </c>
      <c r="O30" s="8" t="str">
        <f aca="false">IF(F30="","",IF(E30="High",الإعدادات!$B$5,IF(E30="Medium",الإعدادات!$B$6,الإعدادات!$B$7)))</f>
        <v/>
      </c>
      <c r="P30" s="8" t="str">
        <f aca="false">IF(F30="","",IF(AND(G30="نعم",N(H30)&gt;=الإعدادات!$B$8),الإعدادات!$B$9,0))</f>
        <v/>
      </c>
      <c r="Q30" s="8" t="str">
        <f aca="false">IF(F30="","",IF(I30="نعم",الإعدادات!$B$10,0))</f>
        <v/>
      </c>
      <c r="R30" s="9" t="str">
        <f aca="false">IF(F30="","",N30+O30+P30+Q30)</f>
        <v/>
      </c>
      <c r="S30" s="8" t="str">
        <f aca="false">IF(F30="","",IF(M30="Credit Card",MAX(0,R30+N(W30))*الإعدادات!$B$16,MAX(0,R30+N(W30))/الإعدادات!$B$15))</f>
        <v/>
      </c>
      <c r="T30" s="10" t="str">
        <f aca="false">IF(OR(F30="",N(F30)=0),"",(N(K30)+S30)/F30)</f>
        <v/>
      </c>
      <c r="U30" s="5" t="str">
        <f aca="false">IF(C30="","",IF(AND(C30&gt;=الإعدادات!$B$12,C30&lt;=الإعدادات!$B$13),"نعم","لا"))</f>
        <v/>
      </c>
      <c r="V30" s="5" t="str">
        <f aca="false">IF(F30="","",IF(U30="لا","مرفوض - السن",IF(N(K30)/F30&gt;الإعدادات!$B$11,"مرفوض - DBR",IF(N(L30)&gt;الإعدادات!$B$14,"مراجعة - Facilities",IF(T30&gt;الإعدادات!$B$11,"مقبول - قلّل الليميت","مقبول")))))</f>
        <v/>
      </c>
      <c r="W30" s="7"/>
      <c r="X30" s="11" t="str">
        <f aca="false">IF(F30="","",IF(LEFT(V30,5)="مرفوض",0,MAX(0,R30+N(W30))))</f>
        <v/>
      </c>
      <c r="Y30" s="6"/>
    </row>
    <row r="31" customFormat="false" ht="15" hidden="false" customHeight="false" outlineLevel="0" collapsed="false">
      <c r="A31" s="5" t="n">
        <v>27</v>
      </c>
      <c r="B31" s="6"/>
      <c r="C31" s="6"/>
      <c r="D31" s="6"/>
      <c r="E31" s="6"/>
      <c r="F31" s="7"/>
      <c r="G31" s="6"/>
      <c r="H31" s="6"/>
      <c r="I31" s="6"/>
      <c r="J31" s="7"/>
      <c r="K31" s="7"/>
      <c r="L31" s="6"/>
      <c r="M31" s="6"/>
      <c r="N31" s="8" t="str">
        <f aca="false">IF(F31="","",F31*الإعدادات!$B$4)</f>
        <v/>
      </c>
      <c r="O31" s="8" t="str">
        <f aca="false">IF(F31="","",IF(E31="High",الإعدادات!$B$5,IF(E31="Medium",الإعدادات!$B$6,الإعدادات!$B$7)))</f>
        <v/>
      </c>
      <c r="P31" s="8" t="str">
        <f aca="false">IF(F31="","",IF(AND(G31="نعم",N(H31)&gt;=الإعدادات!$B$8),الإعدادات!$B$9,0))</f>
        <v/>
      </c>
      <c r="Q31" s="8" t="str">
        <f aca="false">IF(F31="","",IF(I31="نعم",الإعدادات!$B$10,0))</f>
        <v/>
      </c>
      <c r="R31" s="9" t="str">
        <f aca="false">IF(F31="","",N31+O31+P31+Q31)</f>
        <v/>
      </c>
      <c r="S31" s="8" t="str">
        <f aca="false">IF(F31="","",IF(M31="Credit Card",MAX(0,R31+N(W31))*الإعدادات!$B$16,MAX(0,R31+N(W31))/الإعدادات!$B$15))</f>
        <v/>
      </c>
      <c r="T31" s="10" t="str">
        <f aca="false">IF(OR(F31="",N(F31)=0),"",(N(K31)+S31)/F31)</f>
        <v/>
      </c>
      <c r="U31" s="5" t="str">
        <f aca="false">IF(C31="","",IF(AND(C31&gt;=الإعدادات!$B$12,C31&lt;=الإعدادات!$B$13),"نعم","لا"))</f>
        <v/>
      </c>
      <c r="V31" s="5" t="str">
        <f aca="false">IF(F31="","",IF(U31="لا","مرفوض - السن",IF(N(K31)/F31&gt;الإعدادات!$B$11,"مرفوض - DBR",IF(N(L31)&gt;الإعدادات!$B$14,"مراجعة - Facilities",IF(T31&gt;الإعدادات!$B$11,"مقبول - قلّل الليميت","مقبول")))))</f>
        <v/>
      </c>
      <c r="W31" s="7"/>
      <c r="X31" s="11" t="str">
        <f aca="false">IF(F31="","",IF(LEFT(V31,5)="مرفوض",0,MAX(0,R31+N(W31))))</f>
        <v/>
      </c>
      <c r="Y31" s="6"/>
    </row>
    <row r="32" customFormat="false" ht="15" hidden="false" customHeight="false" outlineLevel="0" collapsed="false">
      <c r="A32" s="5" t="n">
        <v>28</v>
      </c>
      <c r="B32" s="6"/>
      <c r="C32" s="6"/>
      <c r="D32" s="6"/>
      <c r="E32" s="6"/>
      <c r="F32" s="7"/>
      <c r="G32" s="6"/>
      <c r="H32" s="6"/>
      <c r="I32" s="6"/>
      <c r="J32" s="7"/>
      <c r="K32" s="7"/>
      <c r="L32" s="6"/>
      <c r="M32" s="6"/>
      <c r="N32" s="8" t="str">
        <f aca="false">IF(F32="","",F32*الإعدادات!$B$4)</f>
        <v/>
      </c>
      <c r="O32" s="8" t="str">
        <f aca="false">IF(F32="","",IF(E32="High",الإعدادات!$B$5,IF(E32="Medium",الإعدادات!$B$6,الإعدادات!$B$7)))</f>
        <v/>
      </c>
      <c r="P32" s="8" t="str">
        <f aca="false">IF(F32="","",IF(AND(G32="نعم",N(H32)&gt;=الإعدادات!$B$8),الإعدادات!$B$9,0))</f>
        <v/>
      </c>
      <c r="Q32" s="8" t="str">
        <f aca="false">IF(F32="","",IF(I32="نعم",الإعدادات!$B$10,0))</f>
        <v/>
      </c>
      <c r="R32" s="9" t="str">
        <f aca="false">IF(F32="","",N32+O32+P32+Q32)</f>
        <v/>
      </c>
      <c r="S32" s="8" t="str">
        <f aca="false">IF(F32="","",IF(M32="Credit Card",MAX(0,R32+N(W32))*الإعدادات!$B$16,MAX(0,R32+N(W32))/الإعدادات!$B$15))</f>
        <v/>
      </c>
      <c r="T32" s="10" t="str">
        <f aca="false">IF(OR(F32="",N(F32)=0),"",(N(K32)+S32)/F32)</f>
        <v/>
      </c>
      <c r="U32" s="5" t="str">
        <f aca="false">IF(C32="","",IF(AND(C32&gt;=الإعدادات!$B$12,C32&lt;=الإعدادات!$B$13),"نعم","لا"))</f>
        <v/>
      </c>
      <c r="V32" s="5" t="str">
        <f aca="false">IF(F32="","",IF(U32="لا","مرفوض - السن",IF(N(K32)/F32&gt;الإعدادات!$B$11,"مرفوض - DBR",IF(N(L32)&gt;الإعدادات!$B$14,"مراجعة - Facilities",IF(T32&gt;الإعدادات!$B$11,"مقبول - قلّل الليميت","مقبول")))))</f>
        <v/>
      </c>
      <c r="W32" s="7"/>
      <c r="X32" s="11" t="str">
        <f aca="false">IF(F32="","",IF(LEFT(V32,5)="مرفوض",0,MAX(0,R32+N(W32))))</f>
        <v/>
      </c>
      <c r="Y32" s="6"/>
    </row>
    <row r="33" customFormat="false" ht="15" hidden="false" customHeight="false" outlineLevel="0" collapsed="false">
      <c r="A33" s="5" t="n">
        <v>29</v>
      </c>
      <c r="B33" s="6"/>
      <c r="C33" s="6"/>
      <c r="D33" s="6"/>
      <c r="E33" s="6"/>
      <c r="F33" s="7"/>
      <c r="G33" s="6"/>
      <c r="H33" s="6"/>
      <c r="I33" s="6"/>
      <c r="J33" s="7"/>
      <c r="K33" s="7"/>
      <c r="L33" s="6"/>
      <c r="M33" s="6"/>
      <c r="N33" s="8" t="str">
        <f aca="false">IF(F33="","",F33*الإعدادات!$B$4)</f>
        <v/>
      </c>
      <c r="O33" s="8" t="str">
        <f aca="false">IF(F33="","",IF(E33="High",الإعدادات!$B$5,IF(E33="Medium",الإعدادات!$B$6,الإعدادات!$B$7)))</f>
        <v/>
      </c>
      <c r="P33" s="8" t="str">
        <f aca="false">IF(F33="","",IF(AND(G33="نعم",N(H33)&gt;=الإعدادات!$B$8),الإعدادات!$B$9,0))</f>
        <v/>
      </c>
      <c r="Q33" s="8" t="str">
        <f aca="false">IF(F33="","",IF(I33="نعم",الإعدادات!$B$10,0))</f>
        <v/>
      </c>
      <c r="R33" s="9" t="str">
        <f aca="false">IF(F33="","",N33+O33+P33+Q33)</f>
        <v/>
      </c>
      <c r="S33" s="8" t="str">
        <f aca="false">IF(F33="","",IF(M33="Credit Card",MAX(0,R33+N(W33))*الإعدادات!$B$16,MAX(0,R33+N(W33))/الإعدادات!$B$15))</f>
        <v/>
      </c>
      <c r="T33" s="10" t="str">
        <f aca="false">IF(OR(F33="",N(F33)=0),"",(N(K33)+S33)/F33)</f>
        <v/>
      </c>
      <c r="U33" s="5" t="str">
        <f aca="false">IF(C33="","",IF(AND(C33&gt;=الإعدادات!$B$12,C33&lt;=الإعدادات!$B$13),"نعم","لا"))</f>
        <v/>
      </c>
      <c r="V33" s="5" t="str">
        <f aca="false">IF(F33="","",IF(U33="لا","مرفوض - السن",IF(N(K33)/F33&gt;الإعدادات!$B$11,"مرفوض - DBR",IF(N(L33)&gt;الإعدادات!$B$14,"مراجعة - Facilities",IF(T33&gt;الإعدادات!$B$11,"مقبول - قلّل الليميت","مقبول")))))</f>
        <v/>
      </c>
      <c r="W33" s="7"/>
      <c r="X33" s="11" t="str">
        <f aca="false">IF(F33="","",IF(LEFT(V33,5)="مرفوض",0,MAX(0,R33+N(W33))))</f>
        <v/>
      </c>
      <c r="Y33" s="6"/>
    </row>
    <row r="34" customFormat="false" ht="15" hidden="false" customHeight="false" outlineLevel="0" collapsed="false">
      <c r="A34" s="5" t="n">
        <v>30</v>
      </c>
      <c r="B34" s="6"/>
      <c r="C34" s="6"/>
      <c r="D34" s="6"/>
      <c r="E34" s="6"/>
      <c r="F34" s="7"/>
      <c r="G34" s="6"/>
      <c r="H34" s="6"/>
      <c r="I34" s="6"/>
      <c r="J34" s="7"/>
      <c r="K34" s="7"/>
      <c r="L34" s="6"/>
      <c r="M34" s="6"/>
      <c r="N34" s="8" t="str">
        <f aca="false">IF(F34="","",F34*الإعدادات!$B$4)</f>
        <v/>
      </c>
      <c r="O34" s="8" t="str">
        <f aca="false">IF(F34="","",IF(E34="High",الإعدادات!$B$5,IF(E34="Medium",الإعدادات!$B$6,الإعدادات!$B$7)))</f>
        <v/>
      </c>
      <c r="P34" s="8" t="str">
        <f aca="false">IF(F34="","",IF(AND(G34="نعم",N(H34)&gt;=الإعدادات!$B$8),الإعدادات!$B$9,0))</f>
        <v/>
      </c>
      <c r="Q34" s="8" t="str">
        <f aca="false">IF(F34="","",IF(I34="نعم",الإعدادات!$B$10,0))</f>
        <v/>
      </c>
      <c r="R34" s="9" t="str">
        <f aca="false">IF(F34="","",N34+O34+P34+Q34)</f>
        <v/>
      </c>
      <c r="S34" s="8" t="str">
        <f aca="false">IF(F34="","",IF(M34="Credit Card",MAX(0,R34+N(W34))*الإعدادات!$B$16,MAX(0,R34+N(W34))/الإعدادات!$B$15))</f>
        <v/>
      </c>
      <c r="T34" s="10" t="str">
        <f aca="false">IF(OR(F34="",N(F34)=0),"",(N(K34)+S34)/F34)</f>
        <v/>
      </c>
      <c r="U34" s="5" t="str">
        <f aca="false">IF(C34="","",IF(AND(C34&gt;=الإعدادات!$B$12,C34&lt;=الإعدادات!$B$13),"نعم","لا"))</f>
        <v/>
      </c>
      <c r="V34" s="5" t="str">
        <f aca="false">IF(F34="","",IF(U34="لا","مرفوض - السن",IF(N(K34)/F34&gt;الإعدادات!$B$11,"مرفوض - DBR",IF(N(L34)&gt;الإعدادات!$B$14,"مراجعة - Facilities",IF(T34&gt;الإعدادات!$B$11,"مقبول - قلّل الليميت","مقبول")))))</f>
        <v/>
      </c>
      <c r="W34" s="7"/>
      <c r="X34" s="11" t="str">
        <f aca="false">IF(F34="","",IF(LEFT(V34,5)="مرفوض",0,MAX(0,R34+N(W34))))</f>
        <v/>
      </c>
      <c r="Y34" s="6"/>
    </row>
    <row r="35" customFormat="false" ht="15" hidden="false" customHeight="false" outlineLevel="0" collapsed="false">
      <c r="A35" s="5" t="n">
        <v>31</v>
      </c>
      <c r="B35" s="6"/>
      <c r="C35" s="6"/>
      <c r="D35" s="6"/>
      <c r="E35" s="6"/>
      <c r="F35" s="7"/>
      <c r="G35" s="6"/>
      <c r="H35" s="6"/>
      <c r="I35" s="6"/>
      <c r="J35" s="7"/>
      <c r="K35" s="7"/>
      <c r="L35" s="6"/>
      <c r="M35" s="6"/>
      <c r="N35" s="8" t="str">
        <f aca="false">IF(F35="","",F35*الإعدادات!$B$4)</f>
        <v/>
      </c>
      <c r="O35" s="8" t="str">
        <f aca="false">IF(F35="","",IF(E35="High",الإعدادات!$B$5,IF(E35="Medium",الإعدادات!$B$6,الإعدادات!$B$7)))</f>
        <v/>
      </c>
      <c r="P35" s="8" t="str">
        <f aca="false">IF(F35="","",IF(AND(G35="نعم",N(H35)&gt;=الإعدادات!$B$8),الإعدادات!$B$9,0))</f>
        <v/>
      </c>
      <c r="Q35" s="8" t="str">
        <f aca="false">IF(F35="","",IF(I35="نعم",الإعدادات!$B$10,0))</f>
        <v/>
      </c>
      <c r="R35" s="9" t="str">
        <f aca="false">IF(F35="","",N35+O35+P35+Q35)</f>
        <v/>
      </c>
      <c r="S35" s="8" t="str">
        <f aca="false">IF(F35="","",IF(M35="Credit Card",MAX(0,R35+N(W35))*الإعدادات!$B$16,MAX(0,R35+N(W35))/الإعدادات!$B$15))</f>
        <v/>
      </c>
      <c r="T35" s="10" t="str">
        <f aca="false">IF(OR(F35="",N(F35)=0),"",(N(K35)+S35)/F35)</f>
        <v/>
      </c>
      <c r="U35" s="5" t="str">
        <f aca="false">IF(C35="","",IF(AND(C35&gt;=الإعدادات!$B$12,C35&lt;=الإعدادات!$B$13),"نعم","لا"))</f>
        <v/>
      </c>
      <c r="V35" s="5" t="str">
        <f aca="false">IF(F35="","",IF(U35="لا","مرفوض - السن",IF(N(K35)/F35&gt;الإعدادات!$B$11,"مرفوض - DBR",IF(N(L35)&gt;الإعدادات!$B$14,"مراجعة - Facilities",IF(T35&gt;الإعدادات!$B$11,"مقبول - قلّل الليميت","مقبول")))))</f>
        <v/>
      </c>
      <c r="W35" s="7"/>
      <c r="X35" s="11" t="str">
        <f aca="false">IF(F35="","",IF(LEFT(V35,5)="مرفوض",0,MAX(0,R35+N(W35))))</f>
        <v/>
      </c>
      <c r="Y35" s="6"/>
    </row>
    <row r="36" customFormat="false" ht="15" hidden="false" customHeight="false" outlineLevel="0" collapsed="false">
      <c r="A36" s="5" t="n">
        <v>32</v>
      </c>
      <c r="B36" s="6"/>
      <c r="C36" s="6"/>
      <c r="D36" s="6"/>
      <c r="E36" s="6"/>
      <c r="F36" s="7"/>
      <c r="G36" s="6"/>
      <c r="H36" s="6"/>
      <c r="I36" s="6"/>
      <c r="J36" s="7"/>
      <c r="K36" s="7"/>
      <c r="L36" s="6"/>
      <c r="M36" s="6"/>
      <c r="N36" s="8" t="str">
        <f aca="false">IF(F36="","",F36*الإعدادات!$B$4)</f>
        <v/>
      </c>
      <c r="O36" s="8" t="str">
        <f aca="false">IF(F36="","",IF(E36="High",الإعدادات!$B$5,IF(E36="Medium",الإعدادات!$B$6,الإعدادات!$B$7)))</f>
        <v/>
      </c>
      <c r="P36" s="8" t="str">
        <f aca="false">IF(F36="","",IF(AND(G36="نعم",N(H36)&gt;=الإعدادات!$B$8),الإعدادات!$B$9,0))</f>
        <v/>
      </c>
      <c r="Q36" s="8" t="str">
        <f aca="false">IF(F36="","",IF(I36="نعم",الإعدادات!$B$10,0))</f>
        <v/>
      </c>
      <c r="R36" s="9" t="str">
        <f aca="false">IF(F36="","",N36+O36+P36+Q36)</f>
        <v/>
      </c>
      <c r="S36" s="8" t="str">
        <f aca="false">IF(F36="","",IF(M36="Credit Card",MAX(0,R36+N(W36))*الإعدادات!$B$16,MAX(0,R36+N(W36))/الإعدادات!$B$15))</f>
        <v/>
      </c>
      <c r="T36" s="10" t="str">
        <f aca="false">IF(OR(F36="",N(F36)=0),"",(N(K36)+S36)/F36)</f>
        <v/>
      </c>
      <c r="U36" s="5" t="str">
        <f aca="false">IF(C36="","",IF(AND(C36&gt;=الإعدادات!$B$12,C36&lt;=الإعدادات!$B$13),"نعم","لا"))</f>
        <v/>
      </c>
      <c r="V36" s="5" t="str">
        <f aca="false">IF(F36="","",IF(U36="لا","مرفوض - السن",IF(N(K36)/F36&gt;الإعدادات!$B$11,"مرفوض - DBR",IF(N(L36)&gt;الإعدادات!$B$14,"مراجعة - Facilities",IF(T36&gt;الإعدادات!$B$11,"مقبول - قلّل الليميت","مقبول")))))</f>
        <v/>
      </c>
      <c r="W36" s="7"/>
      <c r="X36" s="11" t="str">
        <f aca="false">IF(F36="","",IF(LEFT(V36,5)="مرفوض",0,MAX(0,R36+N(W36))))</f>
        <v/>
      </c>
      <c r="Y36" s="6"/>
    </row>
    <row r="37" customFormat="false" ht="15" hidden="false" customHeight="false" outlineLevel="0" collapsed="false">
      <c r="A37" s="5" t="n">
        <v>33</v>
      </c>
      <c r="B37" s="6"/>
      <c r="C37" s="6"/>
      <c r="D37" s="6"/>
      <c r="E37" s="6"/>
      <c r="F37" s="7"/>
      <c r="G37" s="6"/>
      <c r="H37" s="6"/>
      <c r="I37" s="6"/>
      <c r="J37" s="7"/>
      <c r="K37" s="7"/>
      <c r="L37" s="6"/>
      <c r="M37" s="6"/>
      <c r="N37" s="8" t="str">
        <f aca="false">IF(F37="","",F37*الإعدادات!$B$4)</f>
        <v/>
      </c>
      <c r="O37" s="8" t="str">
        <f aca="false">IF(F37="","",IF(E37="High",الإعدادات!$B$5,IF(E37="Medium",الإعدادات!$B$6,الإعدادات!$B$7)))</f>
        <v/>
      </c>
      <c r="P37" s="8" t="str">
        <f aca="false">IF(F37="","",IF(AND(G37="نعم",N(H37)&gt;=الإعدادات!$B$8),الإعدادات!$B$9,0))</f>
        <v/>
      </c>
      <c r="Q37" s="8" t="str">
        <f aca="false">IF(F37="","",IF(I37="نعم",الإعدادات!$B$10,0))</f>
        <v/>
      </c>
      <c r="R37" s="9" t="str">
        <f aca="false">IF(F37="","",N37+O37+P37+Q37)</f>
        <v/>
      </c>
      <c r="S37" s="8" t="str">
        <f aca="false">IF(F37="","",IF(M37="Credit Card",MAX(0,R37+N(W37))*الإعدادات!$B$16,MAX(0,R37+N(W37))/الإعدادات!$B$15))</f>
        <v/>
      </c>
      <c r="T37" s="10" t="str">
        <f aca="false">IF(OR(F37="",N(F37)=0),"",(N(K37)+S37)/F37)</f>
        <v/>
      </c>
      <c r="U37" s="5" t="str">
        <f aca="false">IF(C37="","",IF(AND(C37&gt;=الإعدادات!$B$12,C37&lt;=الإعدادات!$B$13),"نعم","لا"))</f>
        <v/>
      </c>
      <c r="V37" s="5" t="str">
        <f aca="false">IF(F37="","",IF(U37="لا","مرفوض - السن",IF(N(K37)/F37&gt;الإعدادات!$B$11,"مرفوض - DBR",IF(N(L37)&gt;الإعدادات!$B$14,"مراجعة - Facilities",IF(T37&gt;الإعدادات!$B$11,"مقبول - قلّل الليميت","مقبول")))))</f>
        <v/>
      </c>
      <c r="W37" s="7"/>
      <c r="X37" s="11" t="str">
        <f aca="false">IF(F37="","",IF(LEFT(V37,5)="مرفوض",0,MAX(0,R37+N(W37))))</f>
        <v/>
      </c>
      <c r="Y37" s="6"/>
    </row>
    <row r="38" customFormat="false" ht="15" hidden="false" customHeight="false" outlineLevel="0" collapsed="false">
      <c r="A38" s="5" t="n">
        <v>34</v>
      </c>
      <c r="B38" s="6"/>
      <c r="C38" s="6"/>
      <c r="D38" s="6"/>
      <c r="E38" s="6"/>
      <c r="F38" s="7"/>
      <c r="G38" s="6"/>
      <c r="H38" s="6"/>
      <c r="I38" s="6"/>
      <c r="J38" s="7"/>
      <c r="K38" s="7"/>
      <c r="L38" s="6"/>
      <c r="M38" s="6"/>
      <c r="N38" s="8" t="str">
        <f aca="false">IF(F38="","",F38*الإعدادات!$B$4)</f>
        <v/>
      </c>
      <c r="O38" s="8" t="str">
        <f aca="false">IF(F38="","",IF(E38="High",الإعدادات!$B$5,IF(E38="Medium",الإعدادات!$B$6,الإعدادات!$B$7)))</f>
        <v/>
      </c>
      <c r="P38" s="8" t="str">
        <f aca="false">IF(F38="","",IF(AND(G38="نعم",N(H38)&gt;=الإعدادات!$B$8),الإعدادات!$B$9,0))</f>
        <v/>
      </c>
      <c r="Q38" s="8" t="str">
        <f aca="false">IF(F38="","",IF(I38="نعم",الإعدادات!$B$10,0))</f>
        <v/>
      </c>
      <c r="R38" s="9" t="str">
        <f aca="false">IF(F38="","",N38+O38+P38+Q38)</f>
        <v/>
      </c>
      <c r="S38" s="8" t="str">
        <f aca="false">IF(F38="","",IF(M38="Credit Card",MAX(0,R38+N(W38))*الإعدادات!$B$16,MAX(0,R38+N(W38))/الإعدادات!$B$15))</f>
        <v/>
      </c>
      <c r="T38" s="10" t="str">
        <f aca="false">IF(OR(F38="",N(F38)=0),"",(N(K38)+S38)/F38)</f>
        <v/>
      </c>
      <c r="U38" s="5" t="str">
        <f aca="false">IF(C38="","",IF(AND(C38&gt;=الإعدادات!$B$12,C38&lt;=الإعدادات!$B$13),"نعم","لا"))</f>
        <v/>
      </c>
      <c r="V38" s="5" t="str">
        <f aca="false">IF(F38="","",IF(U38="لا","مرفوض - السن",IF(N(K38)/F38&gt;الإعدادات!$B$11,"مرفوض - DBR",IF(N(L38)&gt;الإعدادات!$B$14,"مراجعة - Facilities",IF(T38&gt;الإعدادات!$B$11,"مقبول - قلّل الليميت","مقبول")))))</f>
        <v/>
      </c>
      <c r="W38" s="7"/>
      <c r="X38" s="11" t="str">
        <f aca="false">IF(F38="","",IF(LEFT(V38,5)="مرفوض",0,MAX(0,R38+N(W38))))</f>
        <v/>
      </c>
      <c r="Y38" s="6"/>
    </row>
    <row r="39" customFormat="false" ht="15" hidden="false" customHeight="false" outlineLevel="0" collapsed="false">
      <c r="A39" s="5" t="n">
        <v>35</v>
      </c>
      <c r="B39" s="6"/>
      <c r="C39" s="6"/>
      <c r="D39" s="6"/>
      <c r="E39" s="6"/>
      <c r="F39" s="7"/>
      <c r="G39" s="6"/>
      <c r="H39" s="6"/>
      <c r="I39" s="6"/>
      <c r="J39" s="7"/>
      <c r="K39" s="7"/>
      <c r="L39" s="6"/>
      <c r="M39" s="6"/>
      <c r="N39" s="8" t="str">
        <f aca="false">IF(F39="","",F39*الإعدادات!$B$4)</f>
        <v/>
      </c>
      <c r="O39" s="8" t="str">
        <f aca="false">IF(F39="","",IF(E39="High",الإعدادات!$B$5,IF(E39="Medium",الإعدادات!$B$6,الإعدادات!$B$7)))</f>
        <v/>
      </c>
      <c r="P39" s="8" t="str">
        <f aca="false">IF(F39="","",IF(AND(G39="نعم",N(H39)&gt;=الإعدادات!$B$8),الإعدادات!$B$9,0))</f>
        <v/>
      </c>
      <c r="Q39" s="8" t="str">
        <f aca="false">IF(F39="","",IF(I39="نعم",الإعدادات!$B$10,0))</f>
        <v/>
      </c>
      <c r="R39" s="9" t="str">
        <f aca="false">IF(F39="","",N39+O39+P39+Q39)</f>
        <v/>
      </c>
      <c r="S39" s="8" t="str">
        <f aca="false">IF(F39="","",IF(M39="Credit Card",MAX(0,R39+N(W39))*الإعدادات!$B$16,MAX(0,R39+N(W39))/الإعدادات!$B$15))</f>
        <v/>
      </c>
      <c r="T39" s="10" t="str">
        <f aca="false">IF(OR(F39="",N(F39)=0),"",(N(K39)+S39)/F39)</f>
        <v/>
      </c>
      <c r="U39" s="5" t="str">
        <f aca="false">IF(C39="","",IF(AND(C39&gt;=الإعدادات!$B$12,C39&lt;=الإعدادات!$B$13),"نعم","لا"))</f>
        <v/>
      </c>
      <c r="V39" s="5" t="str">
        <f aca="false">IF(F39="","",IF(U39="لا","مرفوض - السن",IF(N(K39)/F39&gt;الإعدادات!$B$11,"مرفوض - DBR",IF(N(L39)&gt;الإعدادات!$B$14,"مراجعة - Facilities",IF(T39&gt;الإعدادات!$B$11,"مقبول - قلّل الليميت","مقبول")))))</f>
        <v/>
      </c>
      <c r="W39" s="7"/>
      <c r="X39" s="11" t="str">
        <f aca="false">IF(F39="","",IF(LEFT(V39,5)="مرفوض",0,MAX(0,R39+N(W39))))</f>
        <v/>
      </c>
      <c r="Y39" s="6"/>
    </row>
    <row r="40" customFormat="false" ht="15" hidden="false" customHeight="false" outlineLevel="0" collapsed="false">
      <c r="A40" s="5" t="n">
        <v>36</v>
      </c>
      <c r="B40" s="6"/>
      <c r="C40" s="6"/>
      <c r="D40" s="6"/>
      <c r="E40" s="6"/>
      <c r="F40" s="7"/>
      <c r="G40" s="6"/>
      <c r="H40" s="6"/>
      <c r="I40" s="6"/>
      <c r="J40" s="7"/>
      <c r="K40" s="7"/>
      <c r="L40" s="6"/>
      <c r="M40" s="6"/>
      <c r="N40" s="8" t="str">
        <f aca="false">IF(F40="","",F40*الإعدادات!$B$4)</f>
        <v/>
      </c>
      <c r="O40" s="8" t="str">
        <f aca="false">IF(F40="","",IF(E40="High",الإعدادات!$B$5,IF(E40="Medium",الإعدادات!$B$6,الإعدادات!$B$7)))</f>
        <v/>
      </c>
      <c r="P40" s="8" t="str">
        <f aca="false">IF(F40="","",IF(AND(G40="نعم",N(H40)&gt;=الإعدادات!$B$8),الإعدادات!$B$9,0))</f>
        <v/>
      </c>
      <c r="Q40" s="8" t="str">
        <f aca="false">IF(F40="","",IF(I40="نعم",الإعدادات!$B$10,0))</f>
        <v/>
      </c>
      <c r="R40" s="9" t="str">
        <f aca="false">IF(F40="","",N40+O40+P40+Q40)</f>
        <v/>
      </c>
      <c r="S40" s="8" t="str">
        <f aca="false">IF(F40="","",IF(M40="Credit Card",MAX(0,R40+N(W40))*الإعدادات!$B$16,MAX(0,R40+N(W40))/الإعدادات!$B$15))</f>
        <v/>
      </c>
      <c r="T40" s="10" t="str">
        <f aca="false">IF(OR(F40="",N(F40)=0),"",(N(K40)+S40)/F40)</f>
        <v/>
      </c>
      <c r="U40" s="5" t="str">
        <f aca="false">IF(C40="","",IF(AND(C40&gt;=الإعدادات!$B$12,C40&lt;=الإعدادات!$B$13),"نعم","لا"))</f>
        <v/>
      </c>
      <c r="V40" s="5" t="str">
        <f aca="false">IF(F40="","",IF(U40="لا","مرفوض - السن",IF(N(K40)/F40&gt;الإعدادات!$B$11,"مرفوض - DBR",IF(N(L40)&gt;الإعدادات!$B$14,"مراجعة - Facilities",IF(T40&gt;الإعدادات!$B$11,"مقبول - قلّل الليميت","مقبول")))))</f>
        <v/>
      </c>
      <c r="W40" s="7"/>
      <c r="X40" s="11" t="str">
        <f aca="false">IF(F40="","",IF(LEFT(V40,5)="مرفوض",0,MAX(0,R40+N(W40))))</f>
        <v/>
      </c>
      <c r="Y40" s="6"/>
    </row>
    <row r="41" customFormat="false" ht="15" hidden="false" customHeight="false" outlineLevel="0" collapsed="false">
      <c r="A41" s="5" t="n">
        <v>37</v>
      </c>
      <c r="B41" s="6"/>
      <c r="C41" s="6"/>
      <c r="D41" s="6"/>
      <c r="E41" s="6"/>
      <c r="F41" s="7"/>
      <c r="G41" s="6"/>
      <c r="H41" s="6"/>
      <c r="I41" s="6"/>
      <c r="J41" s="7"/>
      <c r="K41" s="7"/>
      <c r="L41" s="6"/>
      <c r="M41" s="6"/>
      <c r="N41" s="8" t="str">
        <f aca="false">IF(F41="","",F41*الإعدادات!$B$4)</f>
        <v/>
      </c>
      <c r="O41" s="8" t="str">
        <f aca="false">IF(F41="","",IF(E41="High",الإعدادات!$B$5,IF(E41="Medium",الإعدادات!$B$6,الإعدادات!$B$7)))</f>
        <v/>
      </c>
      <c r="P41" s="8" t="str">
        <f aca="false">IF(F41="","",IF(AND(G41="نعم",N(H41)&gt;=الإعدادات!$B$8),الإعدادات!$B$9,0))</f>
        <v/>
      </c>
      <c r="Q41" s="8" t="str">
        <f aca="false">IF(F41="","",IF(I41="نعم",الإعدادات!$B$10,0))</f>
        <v/>
      </c>
      <c r="R41" s="9" t="str">
        <f aca="false">IF(F41="","",N41+O41+P41+Q41)</f>
        <v/>
      </c>
      <c r="S41" s="8" t="str">
        <f aca="false">IF(F41="","",IF(M41="Credit Card",MAX(0,R41+N(W41))*الإعدادات!$B$16,MAX(0,R41+N(W41))/الإعدادات!$B$15))</f>
        <v/>
      </c>
      <c r="T41" s="10" t="str">
        <f aca="false">IF(OR(F41="",N(F41)=0),"",(N(K41)+S41)/F41)</f>
        <v/>
      </c>
      <c r="U41" s="5" t="str">
        <f aca="false">IF(C41="","",IF(AND(C41&gt;=الإعدادات!$B$12,C41&lt;=الإعدادات!$B$13),"نعم","لا"))</f>
        <v/>
      </c>
      <c r="V41" s="5" t="str">
        <f aca="false">IF(F41="","",IF(U41="لا","مرفوض - السن",IF(N(K41)/F41&gt;الإعدادات!$B$11,"مرفوض - DBR",IF(N(L41)&gt;الإعدادات!$B$14,"مراجعة - Facilities",IF(T41&gt;الإعدادات!$B$11,"مقبول - قلّل الليميت","مقبول")))))</f>
        <v/>
      </c>
      <c r="W41" s="7"/>
      <c r="X41" s="11" t="str">
        <f aca="false">IF(F41="","",IF(LEFT(V41,5)="مرفوض",0,MAX(0,R41+N(W41))))</f>
        <v/>
      </c>
      <c r="Y41" s="6"/>
    </row>
    <row r="42" customFormat="false" ht="15" hidden="false" customHeight="false" outlineLevel="0" collapsed="false">
      <c r="A42" s="5" t="n">
        <v>38</v>
      </c>
      <c r="B42" s="6"/>
      <c r="C42" s="6"/>
      <c r="D42" s="6"/>
      <c r="E42" s="6"/>
      <c r="F42" s="7"/>
      <c r="G42" s="6"/>
      <c r="H42" s="6"/>
      <c r="I42" s="6"/>
      <c r="J42" s="7"/>
      <c r="K42" s="7"/>
      <c r="L42" s="6"/>
      <c r="M42" s="6"/>
      <c r="N42" s="8" t="str">
        <f aca="false">IF(F42="","",F42*الإعدادات!$B$4)</f>
        <v/>
      </c>
      <c r="O42" s="8" t="str">
        <f aca="false">IF(F42="","",IF(E42="High",الإعدادات!$B$5,IF(E42="Medium",الإعدادات!$B$6,الإعدادات!$B$7)))</f>
        <v/>
      </c>
      <c r="P42" s="8" t="str">
        <f aca="false">IF(F42="","",IF(AND(G42="نعم",N(H42)&gt;=الإعدادات!$B$8),الإعدادات!$B$9,0))</f>
        <v/>
      </c>
      <c r="Q42" s="8" t="str">
        <f aca="false">IF(F42="","",IF(I42="نعم",الإعدادات!$B$10,0))</f>
        <v/>
      </c>
      <c r="R42" s="9" t="str">
        <f aca="false">IF(F42="","",N42+O42+P42+Q42)</f>
        <v/>
      </c>
      <c r="S42" s="8" t="str">
        <f aca="false">IF(F42="","",IF(M42="Credit Card",MAX(0,R42+N(W42))*الإعدادات!$B$16,MAX(0,R42+N(W42))/الإعدادات!$B$15))</f>
        <v/>
      </c>
      <c r="T42" s="10" t="str">
        <f aca="false">IF(OR(F42="",N(F42)=0),"",(N(K42)+S42)/F42)</f>
        <v/>
      </c>
      <c r="U42" s="5" t="str">
        <f aca="false">IF(C42="","",IF(AND(C42&gt;=الإعدادات!$B$12,C42&lt;=الإعدادات!$B$13),"نعم","لا"))</f>
        <v/>
      </c>
      <c r="V42" s="5" t="str">
        <f aca="false">IF(F42="","",IF(U42="لا","مرفوض - السن",IF(N(K42)/F42&gt;الإعدادات!$B$11,"مرفوض - DBR",IF(N(L42)&gt;الإعدادات!$B$14,"مراجعة - Facilities",IF(T42&gt;الإعدادات!$B$11,"مقبول - قلّل الليميت","مقبول")))))</f>
        <v/>
      </c>
      <c r="W42" s="7"/>
      <c r="X42" s="11" t="str">
        <f aca="false">IF(F42="","",IF(LEFT(V42,5)="مرفوض",0,MAX(0,R42+N(W42))))</f>
        <v/>
      </c>
      <c r="Y42" s="6"/>
    </row>
    <row r="43" customFormat="false" ht="15" hidden="false" customHeight="false" outlineLevel="0" collapsed="false">
      <c r="A43" s="5" t="n">
        <v>39</v>
      </c>
      <c r="B43" s="6"/>
      <c r="C43" s="6"/>
      <c r="D43" s="6"/>
      <c r="E43" s="6"/>
      <c r="F43" s="7"/>
      <c r="G43" s="6"/>
      <c r="H43" s="6"/>
      <c r="I43" s="6"/>
      <c r="J43" s="7"/>
      <c r="K43" s="7"/>
      <c r="L43" s="6"/>
      <c r="M43" s="6"/>
      <c r="N43" s="8" t="str">
        <f aca="false">IF(F43="","",F43*الإعدادات!$B$4)</f>
        <v/>
      </c>
      <c r="O43" s="8" t="str">
        <f aca="false">IF(F43="","",IF(E43="High",الإعدادات!$B$5,IF(E43="Medium",الإعدادات!$B$6,الإعدادات!$B$7)))</f>
        <v/>
      </c>
      <c r="P43" s="8" t="str">
        <f aca="false">IF(F43="","",IF(AND(G43="نعم",N(H43)&gt;=الإعدادات!$B$8),الإعدادات!$B$9,0))</f>
        <v/>
      </c>
      <c r="Q43" s="8" t="str">
        <f aca="false">IF(F43="","",IF(I43="نعم",الإعدادات!$B$10,0))</f>
        <v/>
      </c>
      <c r="R43" s="9" t="str">
        <f aca="false">IF(F43="","",N43+O43+P43+Q43)</f>
        <v/>
      </c>
      <c r="S43" s="8" t="str">
        <f aca="false">IF(F43="","",IF(M43="Credit Card",MAX(0,R43+N(W43))*الإعدادات!$B$16,MAX(0,R43+N(W43))/الإعدادات!$B$15))</f>
        <v/>
      </c>
      <c r="T43" s="10" t="str">
        <f aca="false">IF(OR(F43="",N(F43)=0),"",(N(K43)+S43)/F43)</f>
        <v/>
      </c>
      <c r="U43" s="5" t="str">
        <f aca="false">IF(C43="","",IF(AND(C43&gt;=الإعدادات!$B$12,C43&lt;=الإعدادات!$B$13),"نعم","لا"))</f>
        <v/>
      </c>
      <c r="V43" s="5" t="str">
        <f aca="false">IF(F43="","",IF(U43="لا","مرفوض - السن",IF(N(K43)/F43&gt;الإعدادات!$B$11,"مرفوض - DBR",IF(N(L43)&gt;الإعدادات!$B$14,"مراجعة - Facilities",IF(T43&gt;الإعدادات!$B$11,"مقبول - قلّل الليميت","مقبول")))))</f>
        <v/>
      </c>
      <c r="W43" s="7"/>
      <c r="X43" s="11" t="str">
        <f aca="false">IF(F43="","",IF(LEFT(V43,5)="مرفوض",0,MAX(0,R43+N(W43))))</f>
        <v/>
      </c>
      <c r="Y43" s="6"/>
    </row>
    <row r="44" customFormat="false" ht="15" hidden="false" customHeight="false" outlineLevel="0" collapsed="false">
      <c r="A44" s="5" t="n">
        <v>40</v>
      </c>
      <c r="B44" s="6"/>
      <c r="C44" s="6"/>
      <c r="D44" s="6"/>
      <c r="E44" s="6"/>
      <c r="F44" s="7"/>
      <c r="G44" s="6"/>
      <c r="H44" s="6"/>
      <c r="I44" s="6"/>
      <c r="J44" s="7"/>
      <c r="K44" s="7"/>
      <c r="L44" s="6"/>
      <c r="M44" s="6"/>
      <c r="N44" s="8" t="str">
        <f aca="false">IF(F44="","",F44*الإعدادات!$B$4)</f>
        <v/>
      </c>
      <c r="O44" s="8" t="str">
        <f aca="false">IF(F44="","",IF(E44="High",الإعدادات!$B$5,IF(E44="Medium",الإعدادات!$B$6,الإعدادات!$B$7)))</f>
        <v/>
      </c>
      <c r="P44" s="8" t="str">
        <f aca="false">IF(F44="","",IF(AND(G44="نعم",N(H44)&gt;=الإعدادات!$B$8),الإعدادات!$B$9,0))</f>
        <v/>
      </c>
      <c r="Q44" s="8" t="str">
        <f aca="false">IF(F44="","",IF(I44="نعم",الإعدادات!$B$10,0))</f>
        <v/>
      </c>
      <c r="R44" s="9" t="str">
        <f aca="false">IF(F44="","",N44+O44+P44+Q44)</f>
        <v/>
      </c>
      <c r="S44" s="8" t="str">
        <f aca="false">IF(F44="","",IF(M44="Credit Card",MAX(0,R44+N(W44))*الإعدادات!$B$16,MAX(0,R44+N(W44))/الإعدادات!$B$15))</f>
        <v/>
      </c>
      <c r="T44" s="10" t="str">
        <f aca="false">IF(OR(F44="",N(F44)=0),"",(N(K44)+S44)/F44)</f>
        <v/>
      </c>
      <c r="U44" s="5" t="str">
        <f aca="false">IF(C44="","",IF(AND(C44&gt;=الإعدادات!$B$12,C44&lt;=الإعدادات!$B$13),"نعم","لا"))</f>
        <v/>
      </c>
      <c r="V44" s="5" t="str">
        <f aca="false">IF(F44="","",IF(U44="لا","مرفوض - السن",IF(N(K44)/F44&gt;الإعدادات!$B$11,"مرفوض - DBR",IF(N(L44)&gt;الإعدادات!$B$14,"مراجعة - Facilities",IF(T44&gt;الإعدادات!$B$11,"مقبول - قلّل الليميت","مقبول")))))</f>
        <v/>
      </c>
      <c r="W44" s="7"/>
      <c r="X44" s="11" t="str">
        <f aca="false">IF(F44="","",IF(LEFT(V44,5)="مرفوض",0,MAX(0,R44+N(W44))))</f>
        <v/>
      </c>
      <c r="Y44" s="6"/>
    </row>
    <row r="45" customFormat="false" ht="15" hidden="false" customHeight="false" outlineLevel="0" collapsed="false">
      <c r="A45" s="5" t="n">
        <v>41</v>
      </c>
      <c r="B45" s="6"/>
      <c r="C45" s="6"/>
      <c r="D45" s="6"/>
      <c r="E45" s="6"/>
      <c r="F45" s="7"/>
      <c r="G45" s="6"/>
      <c r="H45" s="6"/>
      <c r="I45" s="6"/>
      <c r="J45" s="7"/>
      <c r="K45" s="7"/>
      <c r="L45" s="6"/>
      <c r="M45" s="6"/>
      <c r="N45" s="8" t="str">
        <f aca="false">IF(F45="","",F45*الإعدادات!$B$4)</f>
        <v/>
      </c>
      <c r="O45" s="8" t="str">
        <f aca="false">IF(F45="","",IF(E45="High",الإعدادات!$B$5,IF(E45="Medium",الإعدادات!$B$6,الإعدادات!$B$7)))</f>
        <v/>
      </c>
      <c r="P45" s="8" t="str">
        <f aca="false">IF(F45="","",IF(AND(G45="نعم",N(H45)&gt;=الإعدادات!$B$8),الإعدادات!$B$9,0))</f>
        <v/>
      </c>
      <c r="Q45" s="8" t="str">
        <f aca="false">IF(F45="","",IF(I45="نعم",الإعدادات!$B$10,0))</f>
        <v/>
      </c>
      <c r="R45" s="9" t="str">
        <f aca="false">IF(F45="","",N45+O45+P45+Q45)</f>
        <v/>
      </c>
      <c r="S45" s="8" t="str">
        <f aca="false">IF(F45="","",IF(M45="Credit Card",MAX(0,R45+N(W45))*الإعدادات!$B$16,MAX(0,R45+N(W45))/الإعدادات!$B$15))</f>
        <v/>
      </c>
      <c r="T45" s="10" t="str">
        <f aca="false">IF(OR(F45="",N(F45)=0),"",(N(K45)+S45)/F45)</f>
        <v/>
      </c>
      <c r="U45" s="5" t="str">
        <f aca="false">IF(C45="","",IF(AND(C45&gt;=الإعدادات!$B$12,C45&lt;=الإعدادات!$B$13),"نعم","لا"))</f>
        <v/>
      </c>
      <c r="V45" s="5" t="str">
        <f aca="false">IF(F45="","",IF(U45="لا","مرفوض - السن",IF(N(K45)/F45&gt;الإعدادات!$B$11,"مرفوض - DBR",IF(N(L45)&gt;الإعدادات!$B$14,"مراجعة - Facilities",IF(T45&gt;الإعدادات!$B$11,"مقبول - قلّل الليميت","مقبول")))))</f>
        <v/>
      </c>
      <c r="W45" s="7"/>
      <c r="X45" s="11" t="str">
        <f aca="false">IF(F45="","",IF(LEFT(V45,5)="مرفوض",0,MAX(0,R45+N(W45))))</f>
        <v/>
      </c>
      <c r="Y45" s="6"/>
    </row>
    <row r="46" customFormat="false" ht="15" hidden="false" customHeight="false" outlineLevel="0" collapsed="false">
      <c r="A46" s="5" t="n">
        <v>42</v>
      </c>
      <c r="B46" s="6"/>
      <c r="C46" s="6"/>
      <c r="D46" s="6"/>
      <c r="E46" s="6"/>
      <c r="F46" s="7"/>
      <c r="G46" s="6"/>
      <c r="H46" s="6"/>
      <c r="I46" s="6"/>
      <c r="J46" s="7"/>
      <c r="K46" s="7"/>
      <c r="L46" s="6"/>
      <c r="M46" s="6"/>
      <c r="N46" s="8" t="str">
        <f aca="false">IF(F46="","",F46*الإعدادات!$B$4)</f>
        <v/>
      </c>
      <c r="O46" s="8" t="str">
        <f aca="false">IF(F46="","",IF(E46="High",الإعدادات!$B$5,IF(E46="Medium",الإعدادات!$B$6,الإعدادات!$B$7)))</f>
        <v/>
      </c>
      <c r="P46" s="8" t="str">
        <f aca="false">IF(F46="","",IF(AND(G46="نعم",N(H46)&gt;=الإعدادات!$B$8),الإعدادات!$B$9,0))</f>
        <v/>
      </c>
      <c r="Q46" s="8" t="str">
        <f aca="false">IF(F46="","",IF(I46="نعم",الإعدادات!$B$10,0))</f>
        <v/>
      </c>
      <c r="R46" s="9" t="str">
        <f aca="false">IF(F46="","",N46+O46+P46+Q46)</f>
        <v/>
      </c>
      <c r="S46" s="8" t="str">
        <f aca="false">IF(F46="","",IF(M46="Credit Card",MAX(0,R46+N(W46))*الإعدادات!$B$16,MAX(0,R46+N(W46))/الإعدادات!$B$15))</f>
        <v/>
      </c>
      <c r="T46" s="10" t="str">
        <f aca="false">IF(OR(F46="",N(F46)=0),"",(N(K46)+S46)/F46)</f>
        <v/>
      </c>
      <c r="U46" s="5" t="str">
        <f aca="false">IF(C46="","",IF(AND(C46&gt;=الإعدادات!$B$12,C46&lt;=الإعدادات!$B$13),"نعم","لا"))</f>
        <v/>
      </c>
      <c r="V46" s="5" t="str">
        <f aca="false">IF(F46="","",IF(U46="لا","مرفوض - السن",IF(N(K46)/F46&gt;الإعدادات!$B$11,"مرفوض - DBR",IF(N(L46)&gt;الإعدادات!$B$14,"مراجعة - Facilities",IF(T46&gt;الإعدادات!$B$11,"مقبول - قلّل الليميت","مقبول")))))</f>
        <v/>
      </c>
      <c r="W46" s="7"/>
      <c r="X46" s="11" t="str">
        <f aca="false">IF(F46="","",IF(LEFT(V46,5)="مرفوض",0,MAX(0,R46+N(W46))))</f>
        <v/>
      </c>
      <c r="Y46" s="6"/>
    </row>
    <row r="47" customFormat="false" ht="15" hidden="false" customHeight="false" outlineLevel="0" collapsed="false">
      <c r="A47" s="5" t="n">
        <v>43</v>
      </c>
      <c r="B47" s="6"/>
      <c r="C47" s="6"/>
      <c r="D47" s="6"/>
      <c r="E47" s="6"/>
      <c r="F47" s="7"/>
      <c r="G47" s="6"/>
      <c r="H47" s="6"/>
      <c r="I47" s="6"/>
      <c r="J47" s="7"/>
      <c r="K47" s="7"/>
      <c r="L47" s="6"/>
      <c r="M47" s="6"/>
      <c r="N47" s="8" t="str">
        <f aca="false">IF(F47="","",F47*الإعدادات!$B$4)</f>
        <v/>
      </c>
      <c r="O47" s="8" t="str">
        <f aca="false">IF(F47="","",IF(E47="High",الإعدادات!$B$5,IF(E47="Medium",الإعدادات!$B$6,الإعدادات!$B$7)))</f>
        <v/>
      </c>
      <c r="P47" s="8" t="str">
        <f aca="false">IF(F47="","",IF(AND(G47="نعم",N(H47)&gt;=الإعدادات!$B$8),الإعدادات!$B$9,0))</f>
        <v/>
      </c>
      <c r="Q47" s="8" t="str">
        <f aca="false">IF(F47="","",IF(I47="نعم",الإعدادات!$B$10,0))</f>
        <v/>
      </c>
      <c r="R47" s="9" t="str">
        <f aca="false">IF(F47="","",N47+O47+P47+Q47)</f>
        <v/>
      </c>
      <c r="S47" s="8" t="str">
        <f aca="false">IF(F47="","",IF(M47="Credit Card",MAX(0,R47+N(W47))*الإعدادات!$B$16,MAX(0,R47+N(W47))/الإعدادات!$B$15))</f>
        <v/>
      </c>
      <c r="T47" s="10" t="str">
        <f aca="false">IF(OR(F47="",N(F47)=0),"",(N(K47)+S47)/F47)</f>
        <v/>
      </c>
      <c r="U47" s="5" t="str">
        <f aca="false">IF(C47="","",IF(AND(C47&gt;=الإعدادات!$B$12,C47&lt;=الإعدادات!$B$13),"نعم","لا"))</f>
        <v/>
      </c>
      <c r="V47" s="5" t="str">
        <f aca="false">IF(F47="","",IF(U47="لا","مرفوض - السن",IF(N(K47)/F47&gt;الإعدادات!$B$11,"مرفوض - DBR",IF(N(L47)&gt;الإعدادات!$B$14,"مراجعة - Facilities",IF(T47&gt;الإعدادات!$B$11,"مقبول - قلّل الليميت","مقبول")))))</f>
        <v/>
      </c>
      <c r="W47" s="7"/>
      <c r="X47" s="11" t="str">
        <f aca="false">IF(F47="","",IF(LEFT(V47,5)="مرفوض",0,MAX(0,R47+N(W47))))</f>
        <v/>
      </c>
      <c r="Y47" s="6"/>
    </row>
    <row r="48" customFormat="false" ht="15" hidden="false" customHeight="false" outlineLevel="0" collapsed="false">
      <c r="A48" s="5" t="n">
        <v>44</v>
      </c>
      <c r="B48" s="6"/>
      <c r="C48" s="6"/>
      <c r="D48" s="6"/>
      <c r="E48" s="6"/>
      <c r="F48" s="7"/>
      <c r="G48" s="6"/>
      <c r="H48" s="6"/>
      <c r="I48" s="6"/>
      <c r="J48" s="7"/>
      <c r="K48" s="7"/>
      <c r="L48" s="6"/>
      <c r="M48" s="6"/>
      <c r="N48" s="8" t="str">
        <f aca="false">IF(F48="","",F48*الإعدادات!$B$4)</f>
        <v/>
      </c>
      <c r="O48" s="8" t="str">
        <f aca="false">IF(F48="","",IF(E48="High",الإعدادات!$B$5,IF(E48="Medium",الإعدادات!$B$6,الإعدادات!$B$7)))</f>
        <v/>
      </c>
      <c r="P48" s="8" t="str">
        <f aca="false">IF(F48="","",IF(AND(G48="نعم",N(H48)&gt;=الإعدادات!$B$8),الإعدادات!$B$9,0))</f>
        <v/>
      </c>
      <c r="Q48" s="8" t="str">
        <f aca="false">IF(F48="","",IF(I48="نعم",الإعدادات!$B$10,0))</f>
        <v/>
      </c>
      <c r="R48" s="9" t="str">
        <f aca="false">IF(F48="","",N48+O48+P48+Q48)</f>
        <v/>
      </c>
      <c r="S48" s="8" t="str">
        <f aca="false">IF(F48="","",IF(M48="Credit Card",MAX(0,R48+N(W48))*الإعدادات!$B$16,MAX(0,R48+N(W48))/الإعدادات!$B$15))</f>
        <v/>
      </c>
      <c r="T48" s="10" t="str">
        <f aca="false">IF(OR(F48="",N(F48)=0),"",(N(K48)+S48)/F48)</f>
        <v/>
      </c>
      <c r="U48" s="5" t="str">
        <f aca="false">IF(C48="","",IF(AND(C48&gt;=الإعدادات!$B$12,C48&lt;=الإعدادات!$B$13),"نعم","لا"))</f>
        <v/>
      </c>
      <c r="V48" s="5" t="str">
        <f aca="false">IF(F48="","",IF(U48="لا","مرفوض - السن",IF(N(K48)/F48&gt;الإعدادات!$B$11,"مرفوض - DBR",IF(N(L48)&gt;الإعدادات!$B$14,"مراجعة - Facilities",IF(T48&gt;الإعدادات!$B$11,"مقبول - قلّل الليميت","مقبول")))))</f>
        <v/>
      </c>
      <c r="W48" s="7"/>
      <c r="X48" s="11" t="str">
        <f aca="false">IF(F48="","",IF(LEFT(V48,5)="مرفوض",0,MAX(0,R48+N(W48))))</f>
        <v/>
      </c>
      <c r="Y48" s="6"/>
    </row>
    <row r="49" customFormat="false" ht="15" hidden="false" customHeight="false" outlineLevel="0" collapsed="false">
      <c r="A49" s="5" t="n">
        <v>45</v>
      </c>
      <c r="B49" s="6"/>
      <c r="C49" s="6"/>
      <c r="D49" s="6"/>
      <c r="E49" s="6"/>
      <c r="F49" s="7"/>
      <c r="G49" s="6"/>
      <c r="H49" s="6"/>
      <c r="I49" s="6"/>
      <c r="J49" s="7"/>
      <c r="K49" s="7"/>
      <c r="L49" s="6"/>
      <c r="M49" s="6"/>
      <c r="N49" s="8" t="str">
        <f aca="false">IF(F49="","",F49*الإعدادات!$B$4)</f>
        <v/>
      </c>
      <c r="O49" s="8" t="str">
        <f aca="false">IF(F49="","",IF(E49="High",الإعدادات!$B$5,IF(E49="Medium",الإعدادات!$B$6,الإعدادات!$B$7)))</f>
        <v/>
      </c>
      <c r="P49" s="8" t="str">
        <f aca="false">IF(F49="","",IF(AND(G49="نعم",N(H49)&gt;=الإعدادات!$B$8),الإعدادات!$B$9,0))</f>
        <v/>
      </c>
      <c r="Q49" s="8" t="str">
        <f aca="false">IF(F49="","",IF(I49="نعم",الإعدادات!$B$10,0))</f>
        <v/>
      </c>
      <c r="R49" s="9" t="str">
        <f aca="false">IF(F49="","",N49+O49+P49+Q49)</f>
        <v/>
      </c>
      <c r="S49" s="8" t="str">
        <f aca="false">IF(F49="","",IF(M49="Credit Card",MAX(0,R49+N(W49))*الإعدادات!$B$16,MAX(0,R49+N(W49))/الإعدادات!$B$15))</f>
        <v/>
      </c>
      <c r="T49" s="10" t="str">
        <f aca="false">IF(OR(F49="",N(F49)=0),"",(N(K49)+S49)/F49)</f>
        <v/>
      </c>
      <c r="U49" s="5" t="str">
        <f aca="false">IF(C49="","",IF(AND(C49&gt;=الإعدادات!$B$12,C49&lt;=الإعدادات!$B$13),"نعم","لا"))</f>
        <v/>
      </c>
      <c r="V49" s="5" t="str">
        <f aca="false">IF(F49="","",IF(U49="لا","مرفوض - السن",IF(N(K49)/F49&gt;الإعدادات!$B$11,"مرفوض - DBR",IF(N(L49)&gt;الإعدادات!$B$14,"مراجعة - Facilities",IF(T49&gt;الإعدادات!$B$11,"مقبول - قلّل الليميت","مقبول")))))</f>
        <v/>
      </c>
      <c r="W49" s="7"/>
      <c r="X49" s="11" t="str">
        <f aca="false">IF(F49="","",IF(LEFT(V49,5)="مرفوض",0,MAX(0,R49+N(W49))))</f>
        <v/>
      </c>
      <c r="Y49" s="6"/>
    </row>
    <row r="50" customFormat="false" ht="15" hidden="false" customHeight="false" outlineLevel="0" collapsed="false">
      <c r="A50" s="5" t="n">
        <v>46</v>
      </c>
      <c r="B50" s="6"/>
      <c r="C50" s="6"/>
      <c r="D50" s="6"/>
      <c r="E50" s="6"/>
      <c r="F50" s="7"/>
      <c r="G50" s="6"/>
      <c r="H50" s="6"/>
      <c r="I50" s="6"/>
      <c r="J50" s="7"/>
      <c r="K50" s="7"/>
      <c r="L50" s="6"/>
      <c r="M50" s="6"/>
      <c r="N50" s="8" t="str">
        <f aca="false">IF(F50="","",F50*الإعدادات!$B$4)</f>
        <v/>
      </c>
      <c r="O50" s="8" t="str">
        <f aca="false">IF(F50="","",IF(E50="High",الإعدادات!$B$5,IF(E50="Medium",الإعدادات!$B$6,الإعدادات!$B$7)))</f>
        <v/>
      </c>
      <c r="P50" s="8" t="str">
        <f aca="false">IF(F50="","",IF(AND(G50="نعم",N(H50)&gt;=الإعدادات!$B$8),الإعدادات!$B$9,0))</f>
        <v/>
      </c>
      <c r="Q50" s="8" t="str">
        <f aca="false">IF(F50="","",IF(I50="نعم",الإعدادات!$B$10,0))</f>
        <v/>
      </c>
      <c r="R50" s="9" t="str">
        <f aca="false">IF(F50="","",N50+O50+P50+Q50)</f>
        <v/>
      </c>
      <c r="S50" s="8" t="str">
        <f aca="false">IF(F50="","",IF(M50="Credit Card",MAX(0,R50+N(W50))*الإعدادات!$B$16,MAX(0,R50+N(W50))/الإعدادات!$B$15))</f>
        <v/>
      </c>
      <c r="T50" s="10" t="str">
        <f aca="false">IF(OR(F50="",N(F50)=0),"",(N(K50)+S50)/F50)</f>
        <v/>
      </c>
      <c r="U50" s="5" t="str">
        <f aca="false">IF(C50="","",IF(AND(C50&gt;=الإعدادات!$B$12,C50&lt;=الإعدادات!$B$13),"نعم","لا"))</f>
        <v/>
      </c>
      <c r="V50" s="5" t="str">
        <f aca="false">IF(F50="","",IF(U50="لا","مرفوض - السن",IF(N(K50)/F50&gt;الإعدادات!$B$11,"مرفوض - DBR",IF(N(L50)&gt;الإعدادات!$B$14,"مراجعة - Facilities",IF(T50&gt;الإعدادات!$B$11,"مقبول - قلّل الليميت","مقبول")))))</f>
        <v/>
      </c>
      <c r="W50" s="7"/>
      <c r="X50" s="11" t="str">
        <f aca="false">IF(F50="","",IF(LEFT(V50,5)="مرفوض",0,MAX(0,R50+N(W50))))</f>
        <v/>
      </c>
      <c r="Y50" s="6"/>
    </row>
    <row r="51" customFormat="false" ht="15" hidden="false" customHeight="false" outlineLevel="0" collapsed="false">
      <c r="A51" s="5" t="n">
        <v>47</v>
      </c>
      <c r="B51" s="6"/>
      <c r="C51" s="6"/>
      <c r="D51" s="6"/>
      <c r="E51" s="6"/>
      <c r="F51" s="7"/>
      <c r="G51" s="6"/>
      <c r="H51" s="6"/>
      <c r="I51" s="6"/>
      <c r="J51" s="7"/>
      <c r="K51" s="7"/>
      <c r="L51" s="6"/>
      <c r="M51" s="6"/>
      <c r="N51" s="8" t="str">
        <f aca="false">IF(F51="","",F51*الإعدادات!$B$4)</f>
        <v/>
      </c>
      <c r="O51" s="8" t="str">
        <f aca="false">IF(F51="","",IF(E51="High",الإعدادات!$B$5,IF(E51="Medium",الإعدادات!$B$6,الإعدادات!$B$7)))</f>
        <v/>
      </c>
      <c r="P51" s="8" t="str">
        <f aca="false">IF(F51="","",IF(AND(G51="نعم",N(H51)&gt;=الإعدادات!$B$8),الإعدادات!$B$9,0))</f>
        <v/>
      </c>
      <c r="Q51" s="8" t="str">
        <f aca="false">IF(F51="","",IF(I51="نعم",الإعدادات!$B$10,0))</f>
        <v/>
      </c>
      <c r="R51" s="9" t="str">
        <f aca="false">IF(F51="","",N51+O51+P51+Q51)</f>
        <v/>
      </c>
      <c r="S51" s="8" t="str">
        <f aca="false">IF(F51="","",IF(M51="Credit Card",MAX(0,R51+N(W51))*الإعدادات!$B$16,MAX(0,R51+N(W51))/الإعدادات!$B$15))</f>
        <v/>
      </c>
      <c r="T51" s="10" t="str">
        <f aca="false">IF(OR(F51="",N(F51)=0),"",(N(K51)+S51)/F51)</f>
        <v/>
      </c>
      <c r="U51" s="5" t="str">
        <f aca="false">IF(C51="","",IF(AND(C51&gt;=الإعدادات!$B$12,C51&lt;=الإعدادات!$B$13),"نعم","لا"))</f>
        <v/>
      </c>
      <c r="V51" s="5" t="str">
        <f aca="false">IF(F51="","",IF(U51="لا","مرفوض - السن",IF(N(K51)/F51&gt;الإعدادات!$B$11,"مرفوض - DBR",IF(N(L51)&gt;الإعدادات!$B$14,"مراجعة - Facilities",IF(T51&gt;الإعدادات!$B$11,"مقبول - قلّل الليميت","مقبول")))))</f>
        <v/>
      </c>
      <c r="W51" s="7"/>
      <c r="X51" s="11" t="str">
        <f aca="false">IF(F51="","",IF(LEFT(V51,5)="مرفوض",0,MAX(0,R51+N(W51))))</f>
        <v/>
      </c>
      <c r="Y51" s="6"/>
    </row>
    <row r="52" customFormat="false" ht="15" hidden="false" customHeight="false" outlineLevel="0" collapsed="false">
      <c r="A52" s="5" t="n">
        <v>48</v>
      </c>
      <c r="B52" s="6"/>
      <c r="C52" s="6"/>
      <c r="D52" s="6"/>
      <c r="E52" s="6"/>
      <c r="F52" s="7"/>
      <c r="G52" s="6"/>
      <c r="H52" s="6"/>
      <c r="I52" s="6"/>
      <c r="J52" s="7"/>
      <c r="K52" s="7"/>
      <c r="L52" s="6"/>
      <c r="M52" s="6"/>
      <c r="N52" s="8" t="str">
        <f aca="false">IF(F52="","",F52*الإعدادات!$B$4)</f>
        <v/>
      </c>
      <c r="O52" s="8" t="str">
        <f aca="false">IF(F52="","",IF(E52="High",الإعدادات!$B$5,IF(E52="Medium",الإعدادات!$B$6,الإعدادات!$B$7)))</f>
        <v/>
      </c>
      <c r="P52" s="8" t="str">
        <f aca="false">IF(F52="","",IF(AND(G52="نعم",N(H52)&gt;=الإعدادات!$B$8),الإعدادات!$B$9,0))</f>
        <v/>
      </c>
      <c r="Q52" s="8" t="str">
        <f aca="false">IF(F52="","",IF(I52="نعم",الإعدادات!$B$10,0))</f>
        <v/>
      </c>
      <c r="R52" s="9" t="str">
        <f aca="false">IF(F52="","",N52+O52+P52+Q52)</f>
        <v/>
      </c>
      <c r="S52" s="8" t="str">
        <f aca="false">IF(F52="","",IF(M52="Credit Card",MAX(0,R52+N(W52))*الإعدادات!$B$16,MAX(0,R52+N(W52))/الإعدادات!$B$15))</f>
        <v/>
      </c>
      <c r="T52" s="10" t="str">
        <f aca="false">IF(OR(F52="",N(F52)=0),"",(N(K52)+S52)/F52)</f>
        <v/>
      </c>
      <c r="U52" s="5" t="str">
        <f aca="false">IF(C52="","",IF(AND(C52&gt;=الإعدادات!$B$12,C52&lt;=الإعدادات!$B$13),"نعم","لا"))</f>
        <v/>
      </c>
      <c r="V52" s="5" t="str">
        <f aca="false">IF(F52="","",IF(U52="لا","مرفوض - السن",IF(N(K52)/F52&gt;الإعدادات!$B$11,"مرفوض - DBR",IF(N(L52)&gt;الإعدادات!$B$14,"مراجعة - Facilities",IF(T52&gt;الإعدادات!$B$11,"مقبول - قلّل الليميت","مقبول")))))</f>
        <v/>
      </c>
      <c r="W52" s="7"/>
      <c r="X52" s="11" t="str">
        <f aca="false">IF(F52="","",IF(LEFT(V52,5)="مرفوض",0,MAX(0,R52+N(W52))))</f>
        <v/>
      </c>
      <c r="Y52" s="6"/>
    </row>
    <row r="53" customFormat="false" ht="15" hidden="false" customHeight="false" outlineLevel="0" collapsed="false">
      <c r="A53" s="5" t="n">
        <v>49</v>
      </c>
      <c r="B53" s="6"/>
      <c r="C53" s="6"/>
      <c r="D53" s="6"/>
      <c r="E53" s="6"/>
      <c r="F53" s="7"/>
      <c r="G53" s="6"/>
      <c r="H53" s="6"/>
      <c r="I53" s="6"/>
      <c r="J53" s="7"/>
      <c r="K53" s="7"/>
      <c r="L53" s="6"/>
      <c r="M53" s="6"/>
      <c r="N53" s="8" t="str">
        <f aca="false">IF(F53="","",F53*الإعدادات!$B$4)</f>
        <v/>
      </c>
      <c r="O53" s="8" t="str">
        <f aca="false">IF(F53="","",IF(E53="High",الإعدادات!$B$5,IF(E53="Medium",الإعدادات!$B$6,الإعدادات!$B$7)))</f>
        <v/>
      </c>
      <c r="P53" s="8" t="str">
        <f aca="false">IF(F53="","",IF(AND(G53="نعم",N(H53)&gt;=الإعدادات!$B$8),الإعدادات!$B$9,0))</f>
        <v/>
      </c>
      <c r="Q53" s="8" t="str">
        <f aca="false">IF(F53="","",IF(I53="نعم",الإعدادات!$B$10,0))</f>
        <v/>
      </c>
      <c r="R53" s="9" t="str">
        <f aca="false">IF(F53="","",N53+O53+P53+Q53)</f>
        <v/>
      </c>
      <c r="S53" s="8" t="str">
        <f aca="false">IF(F53="","",IF(M53="Credit Card",MAX(0,R53+N(W53))*الإعدادات!$B$16,MAX(0,R53+N(W53))/الإعدادات!$B$15))</f>
        <v/>
      </c>
      <c r="T53" s="10" t="str">
        <f aca="false">IF(OR(F53="",N(F53)=0),"",(N(K53)+S53)/F53)</f>
        <v/>
      </c>
      <c r="U53" s="5" t="str">
        <f aca="false">IF(C53="","",IF(AND(C53&gt;=الإعدادات!$B$12,C53&lt;=الإعدادات!$B$13),"نعم","لا"))</f>
        <v/>
      </c>
      <c r="V53" s="5" t="str">
        <f aca="false">IF(F53="","",IF(U53="لا","مرفوض - السن",IF(N(K53)/F53&gt;الإعدادات!$B$11,"مرفوض - DBR",IF(N(L53)&gt;الإعدادات!$B$14,"مراجعة - Facilities",IF(T53&gt;الإعدادات!$B$11,"مقبول - قلّل الليميت","مقبول")))))</f>
        <v/>
      </c>
      <c r="W53" s="7"/>
      <c r="X53" s="11" t="str">
        <f aca="false">IF(F53="","",IF(LEFT(V53,5)="مرفوض",0,MAX(0,R53+N(W53))))</f>
        <v/>
      </c>
      <c r="Y53" s="6"/>
    </row>
    <row r="54" customFormat="false" ht="15" hidden="false" customHeight="false" outlineLevel="0" collapsed="false">
      <c r="A54" s="5" t="n">
        <v>50</v>
      </c>
      <c r="B54" s="6"/>
      <c r="C54" s="6"/>
      <c r="D54" s="6"/>
      <c r="E54" s="6"/>
      <c r="F54" s="7"/>
      <c r="G54" s="6"/>
      <c r="H54" s="6"/>
      <c r="I54" s="6"/>
      <c r="J54" s="7"/>
      <c r="K54" s="7"/>
      <c r="L54" s="6"/>
      <c r="M54" s="6"/>
      <c r="N54" s="8" t="str">
        <f aca="false">IF(F54="","",F54*الإعدادات!$B$4)</f>
        <v/>
      </c>
      <c r="O54" s="8" t="str">
        <f aca="false">IF(F54="","",IF(E54="High",الإعدادات!$B$5,IF(E54="Medium",الإعدادات!$B$6,الإعدادات!$B$7)))</f>
        <v/>
      </c>
      <c r="P54" s="8" t="str">
        <f aca="false">IF(F54="","",IF(AND(G54="نعم",N(H54)&gt;=الإعدادات!$B$8),الإعدادات!$B$9,0))</f>
        <v/>
      </c>
      <c r="Q54" s="8" t="str">
        <f aca="false">IF(F54="","",IF(I54="نعم",الإعدادات!$B$10,0))</f>
        <v/>
      </c>
      <c r="R54" s="9" t="str">
        <f aca="false">IF(F54="","",N54+O54+P54+Q54)</f>
        <v/>
      </c>
      <c r="S54" s="8" t="str">
        <f aca="false">IF(F54="","",IF(M54="Credit Card",MAX(0,R54+N(W54))*الإعدادات!$B$16,MAX(0,R54+N(W54))/الإعدادات!$B$15))</f>
        <v/>
      </c>
      <c r="T54" s="10" t="str">
        <f aca="false">IF(OR(F54="",N(F54)=0),"",(N(K54)+S54)/F54)</f>
        <v/>
      </c>
      <c r="U54" s="5" t="str">
        <f aca="false">IF(C54="","",IF(AND(C54&gt;=الإعدادات!$B$12,C54&lt;=الإعدادات!$B$13),"نعم","لا"))</f>
        <v/>
      </c>
      <c r="V54" s="5" t="str">
        <f aca="false">IF(F54="","",IF(U54="لا","مرفوض - السن",IF(N(K54)/F54&gt;الإعدادات!$B$11,"مرفوض - DBR",IF(N(L54)&gt;الإعدادات!$B$14,"مراجعة - Facilities",IF(T54&gt;الإعدادات!$B$11,"مقبول - قلّل الليميت","مقبول")))))</f>
        <v/>
      </c>
      <c r="W54" s="7"/>
      <c r="X54" s="11" t="str">
        <f aca="false">IF(F54="","",IF(LEFT(V54,5)="مرفوض",0,MAX(0,R54+N(W54))))</f>
        <v/>
      </c>
      <c r="Y54" s="6"/>
    </row>
  </sheetData>
  <autoFilter ref="A4:Y54"/>
  <conditionalFormatting sqref="V5:V54">
    <cfRule type="expression" priority="2" aboveAverage="0" equalAverage="0" bottom="0" percent="0" rank="0" text="" dxfId="10">
      <formula>LEFT(V5,5)="مرفوض"</formula>
    </cfRule>
    <cfRule type="expression" priority="3" aboveAverage="0" equalAverage="0" bottom="0" percent="0" rank="0" text="" dxfId="11">
      <formula>LEFT(V5,6)="مراجعة"</formula>
    </cfRule>
    <cfRule type="expression" priority="4" aboveAverage="0" equalAverage="0" bottom="0" percent="0" rank="0" text="" dxfId="12">
      <formula>LEFT(V5,5)="مقبول"</formula>
    </cfRule>
  </conditionalFormatting>
  <conditionalFormatting sqref="T5:T54">
    <cfRule type="expression" priority="5" aboveAverage="0" equalAverage="0" bottom="0" percent="0" rank="0" text="" dxfId="13">
      <formula>AND(T5&lt;&gt;"",T5&gt;الإعدادات!$B$11)</formula>
    </cfRule>
  </conditionalFormatting>
  <dataValidations count="4">
    <dataValidation allowBlank="true" errorStyle="stop" operator="between" showDropDown="false" showErrorMessage="false" showInputMessage="false" sqref="E5:E54" type="list">
      <formula1>الإعدادات!$D$4:$D$6</formula1>
      <formula2>0</formula2>
    </dataValidation>
    <dataValidation allowBlank="true" errorStyle="stop" operator="between" showDropDown="false" showErrorMessage="false" showInputMessage="false" sqref="G5:G54 I5:I54" type="list">
      <formula1>الإعدادات!$E$4:$E$5</formula1>
      <formula2>0</formula2>
    </dataValidation>
    <dataValidation allowBlank="true" errorStyle="stop" operator="between" showDropDown="false" showErrorMessage="false" showInputMessage="false" sqref="M5:M54" type="list">
      <formula1>الإعدادات!$F$4:$F$5</formula1>
      <formula2>0</formula2>
    </dataValidation>
    <dataValidation allowBlank="true" errorStyle="stop" operator="between" showDropDown="false" showErrorMessage="false" showInputMessage="false" sqref="L5:L54" type="whole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6" min="4" style="0" width="14"/>
  </cols>
  <sheetData>
    <row r="1" customFormat="false" ht="17.15" hidden="false" customHeight="false" outlineLevel="0" collapsed="false">
      <c r="A1" s="12" t="s">
        <v>41</v>
      </c>
      <c r="B1" s="12"/>
      <c r="C1" s="12"/>
    </row>
    <row r="3" customFormat="false" ht="15" hidden="false" customHeight="false" outlineLevel="0" collapsed="false">
      <c r="A3" s="13" t="s">
        <v>42</v>
      </c>
      <c r="B3" s="13" t="s">
        <v>43</v>
      </c>
      <c r="C3" s="13" t="s">
        <v>44</v>
      </c>
      <c r="D3" s="14" t="s">
        <v>45</v>
      </c>
      <c r="E3" s="14" t="s">
        <v>46</v>
      </c>
      <c r="F3" s="14" t="s">
        <v>47</v>
      </c>
    </row>
    <row r="4" customFormat="false" ht="15" hidden="false" customHeight="false" outlineLevel="0" collapsed="false">
      <c r="A4" s="15" t="s">
        <v>48</v>
      </c>
      <c r="B4" s="16" t="n">
        <v>5</v>
      </c>
      <c r="C4" s="15" t="s">
        <v>49</v>
      </c>
      <c r="D4" s="17" t="s">
        <v>29</v>
      </c>
      <c r="E4" s="17" t="s">
        <v>30</v>
      </c>
      <c r="F4" s="17" t="s">
        <v>31</v>
      </c>
    </row>
    <row r="5" customFormat="false" ht="15" hidden="false" customHeight="false" outlineLevel="0" collapsed="false">
      <c r="A5" s="15" t="s">
        <v>50</v>
      </c>
      <c r="B5" s="18" t="n">
        <v>20000</v>
      </c>
      <c r="C5" s="15" t="s">
        <v>51</v>
      </c>
      <c r="D5" s="17" t="s">
        <v>34</v>
      </c>
      <c r="E5" s="17" t="s">
        <v>35</v>
      </c>
      <c r="F5" s="17" t="s">
        <v>36</v>
      </c>
    </row>
    <row r="6" customFormat="false" ht="15" hidden="false" customHeight="false" outlineLevel="0" collapsed="false">
      <c r="A6" s="15" t="s">
        <v>52</v>
      </c>
      <c r="B6" s="18" t="n">
        <v>10000</v>
      </c>
      <c r="C6" s="15" t="s">
        <v>53</v>
      </c>
      <c r="D6" s="17" t="s">
        <v>40</v>
      </c>
    </row>
    <row r="7" customFormat="false" ht="15" hidden="false" customHeight="false" outlineLevel="0" collapsed="false">
      <c r="A7" s="15" t="s">
        <v>54</v>
      </c>
      <c r="B7" s="18" t="n">
        <v>0</v>
      </c>
      <c r="C7" s="15" t="s">
        <v>55</v>
      </c>
    </row>
    <row r="8" customFormat="false" ht="15" hidden="false" customHeight="false" outlineLevel="0" collapsed="false">
      <c r="A8" s="15" t="s">
        <v>56</v>
      </c>
      <c r="B8" s="19" t="n">
        <v>2021</v>
      </c>
      <c r="C8" s="15" t="s">
        <v>57</v>
      </c>
    </row>
    <row r="9" customFormat="false" ht="15" hidden="false" customHeight="false" outlineLevel="0" collapsed="false">
      <c r="A9" s="15" t="s">
        <v>17</v>
      </c>
      <c r="B9" s="18" t="n">
        <v>20000</v>
      </c>
      <c r="C9" s="15"/>
    </row>
    <row r="10" customFormat="false" ht="15" hidden="false" customHeight="false" outlineLevel="0" collapsed="false">
      <c r="A10" s="15" t="s">
        <v>18</v>
      </c>
      <c r="B10" s="18" t="n">
        <v>20000</v>
      </c>
      <c r="C10" s="15"/>
    </row>
    <row r="11" customFormat="false" ht="15" hidden="false" customHeight="false" outlineLevel="0" collapsed="false">
      <c r="A11" s="15" t="s">
        <v>58</v>
      </c>
      <c r="B11" s="20" t="n">
        <v>0.5</v>
      </c>
      <c r="C11" s="15" t="s">
        <v>59</v>
      </c>
    </row>
    <row r="12" customFormat="false" ht="15" hidden="false" customHeight="false" outlineLevel="0" collapsed="false">
      <c r="A12" s="15" t="s">
        <v>60</v>
      </c>
      <c r="B12" s="19" t="n">
        <v>21</v>
      </c>
      <c r="C12" s="15"/>
    </row>
    <row r="13" customFormat="false" ht="15" hidden="false" customHeight="false" outlineLevel="0" collapsed="false">
      <c r="A13" s="15" t="s">
        <v>61</v>
      </c>
      <c r="B13" s="19" t="n">
        <v>60</v>
      </c>
      <c r="C13" s="15"/>
    </row>
    <row r="14" customFormat="false" ht="15" hidden="false" customHeight="false" outlineLevel="0" collapsed="false">
      <c r="A14" s="15" t="s">
        <v>62</v>
      </c>
      <c r="B14" s="19" t="n">
        <v>4</v>
      </c>
      <c r="C14" s="15" t="s">
        <v>63</v>
      </c>
    </row>
    <row r="15" customFormat="false" ht="15" hidden="false" customHeight="false" outlineLevel="0" collapsed="false">
      <c r="A15" s="15" t="s">
        <v>64</v>
      </c>
      <c r="B15" s="19" t="n">
        <v>60</v>
      </c>
      <c r="C15" s="15" t="s">
        <v>65</v>
      </c>
    </row>
    <row r="16" customFormat="false" ht="15" hidden="false" customHeight="false" outlineLevel="0" collapsed="false">
      <c r="A16" s="15" t="s">
        <v>66</v>
      </c>
      <c r="B16" s="20" t="n">
        <v>0.05</v>
      </c>
      <c r="C16" s="15" t="s">
        <v>67</v>
      </c>
    </row>
    <row r="18" customFormat="false" ht="15" hidden="false" customHeight="false" outlineLevel="0" collapsed="false">
      <c r="A18" s="21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2026-10-09T13:20:06Z</dcterms:created>
  <dc:creator>openpyxl</dc:creator>
  <dc:description/>
  <dc:language>en-US</dc:language>
  <cp:lastModifiedBy/>
  <dcterms:modified xsi:type="dcterms:W3CDTF">2026-10-09T13:20:07Z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